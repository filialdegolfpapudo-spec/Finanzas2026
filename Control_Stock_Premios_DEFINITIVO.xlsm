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a40c8f98a3ea06cb/Desktop/"/>
    </mc:Choice>
  </mc:AlternateContent>
  <xr:revisionPtr revIDLastSave="13" documentId="8_{73F4DA5B-94E2-4002-99BD-4CC1C031B825}" xr6:coauthVersionLast="47" xr6:coauthVersionMax="47" xr10:uidLastSave="{61EBE3A9-761E-420B-8FAE-8FB679D16710}"/>
  <bookViews>
    <workbookView xWindow="-120" yWindow="-120" windowWidth="29040" windowHeight="15840" tabRatio="500" xr2:uid="{00000000-000D-0000-FFFF-FFFF00000000}"/>
  </bookViews>
  <sheets>
    <sheet name="Dashboard" sheetId="1" r:id="rId1"/>
    <sheet name="Catalogo" sheetId="2" r:id="rId2"/>
    <sheet name="Movimientos" sheetId="3" r:id="rId3"/>
    <sheet name="Instrucciones" sheetId="4" r:id="rId4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I508" i="3" l="1"/>
  <c r="G508" i="3"/>
  <c r="F508" i="3"/>
  <c r="I507" i="3"/>
  <c r="G507" i="3"/>
  <c r="F507" i="3"/>
  <c r="I506" i="3"/>
  <c r="G506" i="3"/>
  <c r="F506" i="3"/>
  <c r="I505" i="3"/>
  <c r="G505" i="3"/>
  <c r="F505" i="3"/>
  <c r="I504" i="3"/>
  <c r="G504" i="3"/>
  <c r="F504" i="3"/>
  <c r="I503" i="3"/>
  <c r="G503" i="3"/>
  <c r="F503" i="3"/>
  <c r="I502" i="3"/>
  <c r="G502" i="3"/>
  <c r="F502" i="3"/>
  <c r="I501" i="3"/>
  <c r="G501" i="3"/>
  <c r="F501" i="3"/>
  <c r="I500" i="3"/>
  <c r="G500" i="3"/>
  <c r="F500" i="3"/>
  <c r="I499" i="3"/>
  <c r="G499" i="3"/>
  <c r="F499" i="3"/>
  <c r="I498" i="3"/>
  <c r="G498" i="3"/>
  <c r="F498" i="3"/>
  <c r="I497" i="3"/>
  <c r="G497" i="3"/>
  <c r="F497" i="3"/>
  <c r="I496" i="3"/>
  <c r="G496" i="3"/>
  <c r="F496" i="3"/>
  <c r="I495" i="3"/>
  <c r="G495" i="3"/>
  <c r="F495" i="3"/>
  <c r="I494" i="3"/>
  <c r="G494" i="3"/>
  <c r="F494" i="3"/>
  <c r="I493" i="3"/>
  <c r="G493" i="3"/>
  <c r="F493" i="3"/>
  <c r="I492" i="3"/>
  <c r="G492" i="3"/>
  <c r="F492" i="3"/>
  <c r="I491" i="3"/>
  <c r="G491" i="3"/>
  <c r="F491" i="3"/>
  <c r="I490" i="3"/>
  <c r="G490" i="3"/>
  <c r="F490" i="3"/>
  <c r="I489" i="3"/>
  <c r="G489" i="3"/>
  <c r="F489" i="3"/>
  <c r="I488" i="3"/>
  <c r="G488" i="3"/>
  <c r="F488" i="3"/>
  <c r="I487" i="3"/>
  <c r="G487" i="3"/>
  <c r="F487" i="3"/>
  <c r="I486" i="3"/>
  <c r="G486" i="3"/>
  <c r="F486" i="3"/>
  <c r="I485" i="3"/>
  <c r="G485" i="3"/>
  <c r="F485" i="3"/>
  <c r="I484" i="3"/>
  <c r="G484" i="3"/>
  <c r="F484" i="3"/>
  <c r="I483" i="3"/>
  <c r="G483" i="3"/>
  <c r="F483" i="3"/>
  <c r="I482" i="3"/>
  <c r="G482" i="3"/>
  <c r="F482" i="3"/>
  <c r="I481" i="3"/>
  <c r="G481" i="3"/>
  <c r="F481" i="3"/>
  <c r="I480" i="3"/>
  <c r="G480" i="3"/>
  <c r="F480" i="3"/>
  <c r="I479" i="3"/>
  <c r="G479" i="3"/>
  <c r="F479" i="3"/>
  <c r="I478" i="3"/>
  <c r="G478" i="3"/>
  <c r="F478" i="3"/>
  <c r="I477" i="3"/>
  <c r="G477" i="3"/>
  <c r="F477" i="3"/>
  <c r="I476" i="3"/>
  <c r="G476" i="3"/>
  <c r="F476" i="3"/>
  <c r="I475" i="3"/>
  <c r="G475" i="3"/>
  <c r="F475" i="3"/>
  <c r="I474" i="3"/>
  <c r="G474" i="3"/>
  <c r="F474" i="3"/>
  <c r="I473" i="3"/>
  <c r="G473" i="3"/>
  <c r="F473" i="3"/>
  <c r="I472" i="3"/>
  <c r="G472" i="3"/>
  <c r="F472" i="3"/>
  <c r="I471" i="3"/>
  <c r="G471" i="3"/>
  <c r="F471" i="3"/>
  <c r="I470" i="3"/>
  <c r="G470" i="3"/>
  <c r="F470" i="3"/>
  <c r="I469" i="3"/>
  <c r="G469" i="3"/>
  <c r="F469" i="3"/>
  <c r="I468" i="3"/>
  <c r="G468" i="3"/>
  <c r="F468" i="3"/>
  <c r="I467" i="3"/>
  <c r="G467" i="3"/>
  <c r="F467" i="3"/>
  <c r="I466" i="3"/>
  <c r="G466" i="3"/>
  <c r="F466" i="3"/>
  <c r="I465" i="3"/>
  <c r="G465" i="3"/>
  <c r="F465" i="3"/>
  <c r="I464" i="3"/>
  <c r="G464" i="3"/>
  <c r="F464" i="3"/>
  <c r="I463" i="3"/>
  <c r="G463" i="3"/>
  <c r="F463" i="3"/>
  <c r="I462" i="3"/>
  <c r="G462" i="3"/>
  <c r="F462" i="3"/>
  <c r="I461" i="3"/>
  <c r="G461" i="3"/>
  <c r="F461" i="3"/>
  <c r="I460" i="3"/>
  <c r="G460" i="3"/>
  <c r="F460" i="3"/>
  <c r="I459" i="3"/>
  <c r="G459" i="3"/>
  <c r="F459" i="3"/>
  <c r="I458" i="3"/>
  <c r="G458" i="3"/>
  <c r="F458" i="3"/>
  <c r="I457" i="3"/>
  <c r="G457" i="3"/>
  <c r="F457" i="3"/>
  <c r="I456" i="3"/>
  <c r="G456" i="3"/>
  <c r="F456" i="3"/>
  <c r="I455" i="3"/>
  <c r="G455" i="3"/>
  <c r="F455" i="3"/>
  <c r="I454" i="3"/>
  <c r="G454" i="3"/>
  <c r="F454" i="3"/>
  <c r="I453" i="3"/>
  <c r="G453" i="3"/>
  <c r="F453" i="3"/>
  <c r="I452" i="3"/>
  <c r="G452" i="3"/>
  <c r="F452" i="3"/>
  <c r="I451" i="3"/>
  <c r="G451" i="3"/>
  <c r="F451" i="3"/>
  <c r="I450" i="3"/>
  <c r="G450" i="3"/>
  <c r="F450" i="3"/>
  <c r="I449" i="3"/>
  <c r="G449" i="3"/>
  <c r="F449" i="3"/>
  <c r="I448" i="3"/>
  <c r="G448" i="3"/>
  <c r="F448" i="3"/>
  <c r="I447" i="3"/>
  <c r="G447" i="3"/>
  <c r="F447" i="3"/>
  <c r="I446" i="3"/>
  <c r="G446" i="3"/>
  <c r="F446" i="3"/>
  <c r="I445" i="3"/>
  <c r="G445" i="3"/>
  <c r="F445" i="3"/>
  <c r="I444" i="3"/>
  <c r="G444" i="3"/>
  <c r="F444" i="3"/>
  <c r="I443" i="3"/>
  <c r="G443" i="3"/>
  <c r="F443" i="3"/>
  <c r="I442" i="3"/>
  <c r="G442" i="3"/>
  <c r="F442" i="3"/>
  <c r="I441" i="3"/>
  <c r="G441" i="3"/>
  <c r="F441" i="3"/>
  <c r="I440" i="3"/>
  <c r="G440" i="3"/>
  <c r="F440" i="3"/>
  <c r="I439" i="3"/>
  <c r="G439" i="3"/>
  <c r="F439" i="3"/>
  <c r="I438" i="3"/>
  <c r="G438" i="3"/>
  <c r="F438" i="3"/>
  <c r="I437" i="3"/>
  <c r="G437" i="3"/>
  <c r="F437" i="3"/>
  <c r="I436" i="3"/>
  <c r="G436" i="3"/>
  <c r="F436" i="3"/>
  <c r="I435" i="3"/>
  <c r="G435" i="3"/>
  <c r="F435" i="3"/>
  <c r="I434" i="3"/>
  <c r="G434" i="3"/>
  <c r="F434" i="3"/>
  <c r="I433" i="3"/>
  <c r="G433" i="3"/>
  <c r="F433" i="3"/>
  <c r="I432" i="3"/>
  <c r="G432" i="3"/>
  <c r="F432" i="3"/>
  <c r="I431" i="3"/>
  <c r="G431" i="3"/>
  <c r="F431" i="3"/>
  <c r="I430" i="3"/>
  <c r="G430" i="3"/>
  <c r="F430" i="3"/>
  <c r="I429" i="3"/>
  <c r="G429" i="3"/>
  <c r="F429" i="3"/>
  <c r="I428" i="3"/>
  <c r="G428" i="3"/>
  <c r="F428" i="3"/>
  <c r="I427" i="3"/>
  <c r="G427" i="3"/>
  <c r="F427" i="3"/>
  <c r="I426" i="3"/>
  <c r="G426" i="3"/>
  <c r="F426" i="3"/>
  <c r="I425" i="3"/>
  <c r="G425" i="3"/>
  <c r="F425" i="3"/>
  <c r="I424" i="3"/>
  <c r="G424" i="3"/>
  <c r="F424" i="3"/>
  <c r="I423" i="3"/>
  <c r="G423" i="3"/>
  <c r="F423" i="3"/>
  <c r="I422" i="3"/>
  <c r="G422" i="3"/>
  <c r="F422" i="3"/>
  <c r="I421" i="3"/>
  <c r="G421" i="3"/>
  <c r="F421" i="3"/>
  <c r="I420" i="3"/>
  <c r="G420" i="3"/>
  <c r="F420" i="3"/>
  <c r="I419" i="3"/>
  <c r="G419" i="3"/>
  <c r="F419" i="3"/>
  <c r="I418" i="3"/>
  <c r="G418" i="3"/>
  <c r="F418" i="3"/>
  <c r="I417" i="3"/>
  <c r="G417" i="3"/>
  <c r="F417" i="3"/>
  <c r="I416" i="3"/>
  <c r="G416" i="3"/>
  <c r="F416" i="3"/>
  <c r="I415" i="3"/>
  <c r="G415" i="3"/>
  <c r="F415" i="3"/>
  <c r="I414" i="3"/>
  <c r="G414" i="3"/>
  <c r="F414" i="3"/>
  <c r="I413" i="3"/>
  <c r="G413" i="3"/>
  <c r="F413" i="3"/>
  <c r="I412" i="3"/>
  <c r="G412" i="3"/>
  <c r="F412" i="3"/>
  <c r="I411" i="3"/>
  <c r="G411" i="3"/>
  <c r="F411" i="3"/>
  <c r="I410" i="3"/>
  <c r="G410" i="3"/>
  <c r="F410" i="3"/>
  <c r="I409" i="3"/>
  <c r="G409" i="3"/>
  <c r="F409" i="3"/>
  <c r="I408" i="3"/>
  <c r="G408" i="3"/>
  <c r="F408" i="3"/>
  <c r="I407" i="3"/>
  <c r="G407" i="3"/>
  <c r="F407" i="3"/>
  <c r="I406" i="3"/>
  <c r="G406" i="3"/>
  <c r="F406" i="3"/>
  <c r="I405" i="3"/>
  <c r="G405" i="3"/>
  <c r="F405" i="3"/>
  <c r="I404" i="3"/>
  <c r="G404" i="3"/>
  <c r="F404" i="3"/>
  <c r="I403" i="3"/>
  <c r="G403" i="3"/>
  <c r="F403" i="3"/>
  <c r="I402" i="3"/>
  <c r="G402" i="3"/>
  <c r="F402" i="3"/>
  <c r="I401" i="3"/>
  <c r="G401" i="3"/>
  <c r="F401" i="3"/>
  <c r="I400" i="3"/>
  <c r="G400" i="3"/>
  <c r="F400" i="3"/>
  <c r="I399" i="3"/>
  <c r="G399" i="3"/>
  <c r="F399" i="3"/>
  <c r="I398" i="3"/>
  <c r="G398" i="3"/>
  <c r="F398" i="3"/>
  <c r="I397" i="3"/>
  <c r="G397" i="3"/>
  <c r="F397" i="3"/>
  <c r="I396" i="3"/>
  <c r="G396" i="3"/>
  <c r="F396" i="3"/>
  <c r="I395" i="3"/>
  <c r="G395" i="3"/>
  <c r="F395" i="3"/>
  <c r="I394" i="3"/>
  <c r="G394" i="3"/>
  <c r="F394" i="3"/>
  <c r="I393" i="3"/>
  <c r="G393" i="3"/>
  <c r="F393" i="3"/>
  <c r="I392" i="3"/>
  <c r="G392" i="3"/>
  <c r="F392" i="3"/>
  <c r="I391" i="3"/>
  <c r="G391" i="3"/>
  <c r="F391" i="3"/>
  <c r="I390" i="3"/>
  <c r="G390" i="3"/>
  <c r="F390" i="3"/>
  <c r="I389" i="3"/>
  <c r="G389" i="3"/>
  <c r="F389" i="3"/>
  <c r="I388" i="3"/>
  <c r="G388" i="3"/>
  <c r="F388" i="3"/>
  <c r="I387" i="3"/>
  <c r="G387" i="3"/>
  <c r="F387" i="3"/>
  <c r="I386" i="3"/>
  <c r="G386" i="3"/>
  <c r="F386" i="3"/>
  <c r="I385" i="3"/>
  <c r="G385" i="3"/>
  <c r="F385" i="3"/>
  <c r="I384" i="3"/>
  <c r="G384" i="3"/>
  <c r="F384" i="3"/>
  <c r="I383" i="3"/>
  <c r="G383" i="3"/>
  <c r="F383" i="3"/>
  <c r="I382" i="3"/>
  <c r="G382" i="3"/>
  <c r="F382" i="3"/>
  <c r="I381" i="3"/>
  <c r="G381" i="3"/>
  <c r="F381" i="3"/>
  <c r="I380" i="3"/>
  <c r="G380" i="3"/>
  <c r="F380" i="3"/>
  <c r="I379" i="3"/>
  <c r="G379" i="3"/>
  <c r="F379" i="3"/>
  <c r="I378" i="3"/>
  <c r="G378" i="3"/>
  <c r="F378" i="3"/>
  <c r="I377" i="3"/>
  <c r="G377" i="3"/>
  <c r="F377" i="3"/>
  <c r="I376" i="3"/>
  <c r="G376" i="3"/>
  <c r="F376" i="3"/>
  <c r="I375" i="3"/>
  <c r="G375" i="3"/>
  <c r="F375" i="3"/>
  <c r="I374" i="3"/>
  <c r="G374" i="3"/>
  <c r="F374" i="3"/>
  <c r="I373" i="3"/>
  <c r="G373" i="3"/>
  <c r="F373" i="3"/>
  <c r="I372" i="3"/>
  <c r="G372" i="3"/>
  <c r="F372" i="3"/>
  <c r="I371" i="3"/>
  <c r="G371" i="3"/>
  <c r="F371" i="3"/>
  <c r="I370" i="3"/>
  <c r="G370" i="3"/>
  <c r="F370" i="3"/>
  <c r="I369" i="3"/>
  <c r="G369" i="3"/>
  <c r="F369" i="3"/>
  <c r="I368" i="3"/>
  <c r="G368" i="3"/>
  <c r="F368" i="3"/>
  <c r="I367" i="3"/>
  <c r="G367" i="3"/>
  <c r="F367" i="3"/>
  <c r="I366" i="3"/>
  <c r="G366" i="3"/>
  <c r="F366" i="3"/>
  <c r="I365" i="3"/>
  <c r="G365" i="3"/>
  <c r="F365" i="3"/>
  <c r="I364" i="3"/>
  <c r="G364" i="3"/>
  <c r="F364" i="3"/>
  <c r="I363" i="3"/>
  <c r="G363" i="3"/>
  <c r="F363" i="3"/>
  <c r="I362" i="3"/>
  <c r="G362" i="3"/>
  <c r="F362" i="3"/>
  <c r="I361" i="3"/>
  <c r="G361" i="3"/>
  <c r="F361" i="3"/>
  <c r="I360" i="3"/>
  <c r="G360" i="3"/>
  <c r="F360" i="3"/>
  <c r="I359" i="3"/>
  <c r="G359" i="3"/>
  <c r="F359" i="3"/>
  <c r="I358" i="3"/>
  <c r="G358" i="3"/>
  <c r="F358" i="3"/>
  <c r="I357" i="3"/>
  <c r="G357" i="3"/>
  <c r="F357" i="3"/>
  <c r="I356" i="3"/>
  <c r="G356" i="3"/>
  <c r="F356" i="3"/>
  <c r="I355" i="3"/>
  <c r="G355" i="3"/>
  <c r="F355" i="3"/>
  <c r="I354" i="3"/>
  <c r="G354" i="3"/>
  <c r="F354" i="3"/>
  <c r="I353" i="3"/>
  <c r="G353" i="3"/>
  <c r="F353" i="3"/>
  <c r="I352" i="3"/>
  <c r="G352" i="3"/>
  <c r="F352" i="3"/>
  <c r="I351" i="3"/>
  <c r="G351" i="3"/>
  <c r="F351" i="3"/>
  <c r="I350" i="3"/>
  <c r="G350" i="3"/>
  <c r="F350" i="3"/>
  <c r="I349" i="3"/>
  <c r="G349" i="3"/>
  <c r="F349" i="3"/>
  <c r="I348" i="3"/>
  <c r="G348" i="3"/>
  <c r="F348" i="3"/>
  <c r="I347" i="3"/>
  <c r="G347" i="3"/>
  <c r="F347" i="3"/>
  <c r="I346" i="3"/>
  <c r="G346" i="3"/>
  <c r="F346" i="3"/>
  <c r="I345" i="3"/>
  <c r="G345" i="3"/>
  <c r="F345" i="3"/>
  <c r="I344" i="3"/>
  <c r="G344" i="3"/>
  <c r="F344" i="3"/>
  <c r="I343" i="3"/>
  <c r="G343" i="3"/>
  <c r="F343" i="3"/>
  <c r="I342" i="3"/>
  <c r="G342" i="3"/>
  <c r="F342" i="3"/>
  <c r="I341" i="3"/>
  <c r="G341" i="3"/>
  <c r="F341" i="3"/>
  <c r="I340" i="3"/>
  <c r="G340" i="3"/>
  <c r="F340" i="3"/>
  <c r="I339" i="3"/>
  <c r="G339" i="3"/>
  <c r="F339" i="3"/>
  <c r="I338" i="3"/>
  <c r="G338" i="3"/>
  <c r="F338" i="3"/>
  <c r="I337" i="3"/>
  <c r="G337" i="3"/>
  <c r="F337" i="3"/>
  <c r="I336" i="3"/>
  <c r="G336" i="3"/>
  <c r="F336" i="3"/>
  <c r="I335" i="3"/>
  <c r="G335" i="3"/>
  <c r="F335" i="3"/>
  <c r="I334" i="3"/>
  <c r="G334" i="3"/>
  <c r="F334" i="3"/>
  <c r="I333" i="3"/>
  <c r="G333" i="3"/>
  <c r="F333" i="3"/>
  <c r="I332" i="3"/>
  <c r="G332" i="3"/>
  <c r="F332" i="3"/>
  <c r="I331" i="3"/>
  <c r="G331" i="3"/>
  <c r="F331" i="3"/>
  <c r="I330" i="3"/>
  <c r="G330" i="3"/>
  <c r="F330" i="3"/>
  <c r="I329" i="3"/>
  <c r="G329" i="3"/>
  <c r="F329" i="3"/>
  <c r="I328" i="3"/>
  <c r="G328" i="3"/>
  <c r="F328" i="3"/>
  <c r="I327" i="3"/>
  <c r="G327" i="3"/>
  <c r="F327" i="3"/>
  <c r="I326" i="3"/>
  <c r="G326" i="3"/>
  <c r="F326" i="3"/>
  <c r="I325" i="3"/>
  <c r="G325" i="3"/>
  <c r="F325" i="3"/>
  <c r="I324" i="3"/>
  <c r="G324" i="3"/>
  <c r="F324" i="3"/>
  <c r="I323" i="3"/>
  <c r="G323" i="3"/>
  <c r="F323" i="3"/>
  <c r="I322" i="3"/>
  <c r="G322" i="3"/>
  <c r="F322" i="3"/>
  <c r="I321" i="3"/>
  <c r="G321" i="3"/>
  <c r="F321" i="3"/>
  <c r="I320" i="3"/>
  <c r="G320" i="3"/>
  <c r="F320" i="3"/>
  <c r="I319" i="3"/>
  <c r="G319" i="3"/>
  <c r="F319" i="3"/>
  <c r="I318" i="3"/>
  <c r="G318" i="3"/>
  <c r="F318" i="3"/>
  <c r="I317" i="3"/>
  <c r="G317" i="3"/>
  <c r="F317" i="3"/>
  <c r="I316" i="3"/>
  <c r="G316" i="3"/>
  <c r="F316" i="3"/>
  <c r="I315" i="3"/>
  <c r="G315" i="3"/>
  <c r="F315" i="3"/>
  <c r="I314" i="3"/>
  <c r="G314" i="3"/>
  <c r="F314" i="3"/>
  <c r="I313" i="3"/>
  <c r="G313" i="3"/>
  <c r="F313" i="3"/>
  <c r="I312" i="3"/>
  <c r="G312" i="3"/>
  <c r="F312" i="3"/>
  <c r="I311" i="3"/>
  <c r="G311" i="3"/>
  <c r="F311" i="3"/>
  <c r="I310" i="3"/>
  <c r="G310" i="3"/>
  <c r="F310" i="3"/>
  <c r="I309" i="3"/>
  <c r="G309" i="3"/>
  <c r="F309" i="3"/>
  <c r="I308" i="3"/>
  <c r="G308" i="3"/>
  <c r="F308" i="3"/>
  <c r="I307" i="3"/>
  <c r="G307" i="3"/>
  <c r="F307" i="3"/>
  <c r="I306" i="3"/>
  <c r="G306" i="3"/>
  <c r="F306" i="3"/>
  <c r="I305" i="3"/>
  <c r="G305" i="3"/>
  <c r="F305" i="3"/>
  <c r="I304" i="3"/>
  <c r="G304" i="3"/>
  <c r="F304" i="3"/>
  <c r="I303" i="3"/>
  <c r="G303" i="3"/>
  <c r="F303" i="3"/>
  <c r="I302" i="3"/>
  <c r="G302" i="3"/>
  <c r="F302" i="3"/>
  <c r="I301" i="3"/>
  <c r="G301" i="3"/>
  <c r="F301" i="3"/>
  <c r="I300" i="3"/>
  <c r="G300" i="3"/>
  <c r="F300" i="3"/>
  <c r="I299" i="3"/>
  <c r="G299" i="3"/>
  <c r="F299" i="3"/>
  <c r="I298" i="3"/>
  <c r="G298" i="3"/>
  <c r="F298" i="3"/>
  <c r="I297" i="3"/>
  <c r="G297" i="3"/>
  <c r="F297" i="3"/>
  <c r="I296" i="3"/>
  <c r="G296" i="3"/>
  <c r="F296" i="3"/>
  <c r="I295" i="3"/>
  <c r="G295" i="3"/>
  <c r="F295" i="3"/>
  <c r="I294" i="3"/>
  <c r="G294" i="3"/>
  <c r="F294" i="3"/>
  <c r="I293" i="3"/>
  <c r="G293" i="3"/>
  <c r="F293" i="3"/>
  <c r="I292" i="3"/>
  <c r="G292" i="3"/>
  <c r="F292" i="3"/>
  <c r="I291" i="3"/>
  <c r="G291" i="3"/>
  <c r="F291" i="3"/>
  <c r="I290" i="3"/>
  <c r="G290" i="3"/>
  <c r="F290" i="3"/>
  <c r="I289" i="3"/>
  <c r="G289" i="3"/>
  <c r="F289" i="3"/>
  <c r="I288" i="3"/>
  <c r="G288" i="3"/>
  <c r="F288" i="3"/>
  <c r="I287" i="3"/>
  <c r="G287" i="3"/>
  <c r="F287" i="3"/>
  <c r="I286" i="3"/>
  <c r="G286" i="3"/>
  <c r="F286" i="3"/>
  <c r="I285" i="3"/>
  <c r="G285" i="3"/>
  <c r="F285" i="3"/>
  <c r="I284" i="3"/>
  <c r="G284" i="3"/>
  <c r="F284" i="3"/>
  <c r="I283" i="3"/>
  <c r="G283" i="3"/>
  <c r="F283" i="3"/>
  <c r="I282" i="3"/>
  <c r="G282" i="3"/>
  <c r="F282" i="3"/>
  <c r="I281" i="3"/>
  <c r="G281" i="3"/>
  <c r="F281" i="3"/>
  <c r="I280" i="3"/>
  <c r="G280" i="3"/>
  <c r="F280" i="3"/>
  <c r="I279" i="3"/>
  <c r="G279" i="3"/>
  <c r="F279" i="3"/>
  <c r="I278" i="3"/>
  <c r="G278" i="3"/>
  <c r="F278" i="3"/>
  <c r="I277" i="3"/>
  <c r="G277" i="3"/>
  <c r="F277" i="3"/>
  <c r="I276" i="3"/>
  <c r="G276" i="3"/>
  <c r="F276" i="3"/>
  <c r="I275" i="3"/>
  <c r="G275" i="3"/>
  <c r="F275" i="3"/>
  <c r="I274" i="3"/>
  <c r="G274" i="3"/>
  <c r="F274" i="3"/>
  <c r="I273" i="3"/>
  <c r="G273" i="3"/>
  <c r="F273" i="3"/>
  <c r="I272" i="3"/>
  <c r="G272" i="3"/>
  <c r="F272" i="3"/>
  <c r="I271" i="3"/>
  <c r="G271" i="3"/>
  <c r="F271" i="3"/>
  <c r="I270" i="3"/>
  <c r="G270" i="3"/>
  <c r="F270" i="3"/>
  <c r="I269" i="3"/>
  <c r="G269" i="3"/>
  <c r="F269" i="3"/>
  <c r="I268" i="3"/>
  <c r="G268" i="3"/>
  <c r="F268" i="3"/>
  <c r="I267" i="3"/>
  <c r="G267" i="3"/>
  <c r="F267" i="3"/>
  <c r="I266" i="3"/>
  <c r="G266" i="3"/>
  <c r="F266" i="3"/>
  <c r="I265" i="3"/>
  <c r="G265" i="3"/>
  <c r="F265" i="3"/>
  <c r="I264" i="3"/>
  <c r="G264" i="3"/>
  <c r="F264" i="3"/>
  <c r="I263" i="3"/>
  <c r="G263" i="3"/>
  <c r="F263" i="3"/>
  <c r="I262" i="3"/>
  <c r="G262" i="3"/>
  <c r="F262" i="3"/>
  <c r="I261" i="3"/>
  <c r="G261" i="3"/>
  <c r="F261" i="3"/>
  <c r="I260" i="3"/>
  <c r="G260" i="3"/>
  <c r="F260" i="3"/>
  <c r="I259" i="3"/>
  <c r="G259" i="3"/>
  <c r="F259" i="3"/>
  <c r="I258" i="3"/>
  <c r="G258" i="3"/>
  <c r="F258" i="3"/>
  <c r="I257" i="3"/>
  <c r="G257" i="3"/>
  <c r="F257" i="3"/>
  <c r="I256" i="3"/>
  <c r="G256" i="3"/>
  <c r="F256" i="3"/>
  <c r="I255" i="3"/>
  <c r="G255" i="3"/>
  <c r="F255" i="3"/>
  <c r="I254" i="3"/>
  <c r="G254" i="3"/>
  <c r="F254" i="3"/>
  <c r="I253" i="3"/>
  <c r="G253" i="3"/>
  <c r="F253" i="3"/>
  <c r="I252" i="3"/>
  <c r="G252" i="3"/>
  <c r="F252" i="3"/>
  <c r="I251" i="3"/>
  <c r="G251" i="3"/>
  <c r="F251" i="3"/>
  <c r="I250" i="3"/>
  <c r="G250" i="3"/>
  <c r="F250" i="3"/>
  <c r="I249" i="3"/>
  <c r="G249" i="3"/>
  <c r="F249" i="3"/>
  <c r="I248" i="3"/>
  <c r="G248" i="3"/>
  <c r="F248" i="3"/>
  <c r="I247" i="3"/>
  <c r="G247" i="3"/>
  <c r="F247" i="3"/>
  <c r="I246" i="3"/>
  <c r="G246" i="3"/>
  <c r="F246" i="3"/>
  <c r="I245" i="3"/>
  <c r="G245" i="3"/>
  <c r="F245" i="3"/>
  <c r="I244" i="3"/>
  <c r="G244" i="3"/>
  <c r="F244" i="3"/>
  <c r="I243" i="3"/>
  <c r="G243" i="3"/>
  <c r="F243" i="3"/>
  <c r="I242" i="3"/>
  <c r="G242" i="3"/>
  <c r="F242" i="3"/>
  <c r="I241" i="3"/>
  <c r="G241" i="3"/>
  <c r="F241" i="3"/>
  <c r="I240" i="3"/>
  <c r="G240" i="3"/>
  <c r="F240" i="3"/>
  <c r="I239" i="3"/>
  <c r="G239" i="3"/>
  <c r="F239" i="3"/>
  <c r="I238" i="3"/>
  <c r="G238" i="3"/>
  <c r="F238" i="3"/>
  <c r="I237" i="3"/>
  <c r="G237" i="3"/>
  <c r="F237" i="3"/>
  <c r="I236" i="3"/>
  <c r="G236" i="3"/>
  <c r="F236" i="3"/>
  <c r="I235" i="3"/>
  <c r="G235" i="3"/>
  <c r="F235" i="3"/>
  <c r="I234" i="3"/>
  <c r="G234" i="3"/>
  <c r="F234" i="3"/>
  <c r="I233" i="3"/>
  <c r="G233" i="3"/>
  <c r="F233" i="3"/>
  <c r="I232" i="3"/>
  <c r="G232" i="3"/>
  <c r="F232" i="3"/>
  <c r="I231" i="3"/>
  <c r="G231" i="3"/>
  <c r="F231" i="3"/>
  <c r="I230" i="3"/>
  <c r="G230" i="3"/>
  <c r="F230" i="3"/>
  <c r="I229" i="3"/>
  <c r="G229" i="3"/>
  <c r="F229" i="3"/>
  <c r="I228" i="3"/>
  <c r="G228" i="3"/>
  <c r="F228" i="3"/>
  <c r="I227" i="3"/>
  <c r="G227" i="3"/>
  <c r="F227" i="3"/>
  <c r="I226" i="3"/>
  <c r="G226" i="3"/>
  <c r="F226" i="3"/>
  <c r="I225" i="3"/>
  <c r="G225" i="3"/>
  <c r="F225" i="3"/>
  <c r="I224" i="3"/>
  <c r="G224" i="3"/>
  <c r="F224" i="3"/>
  <c r="I223" i="3"/>
  <c r="G223" i="3"/>
  <c r="F223" i="3"/>
  <c r="I222" i="3"/>
  <c r="G222" i="3"/>
  <c r="F222" i="3"/>
  <c r="I221" i="3"/>
  <c r="G221" i="3"/>
  <c r="F221" i="3"/>
  <c r="I220" i="3"/>
  <c r="G220" i="3"/>
  <c r="F220" i="3"/>
  <c r="I219" i="3"/>
  <c r="G219" i="3"/>
  <c r="F219" i="3"/>
  <c r="I218" i="3"/>
  <c r="G218" i="3"/>
  <c r="F218" i="3"/>
  <c r="I217" i="3"/>
  <c r="G217" i="3"/>
  <c r="F217" i="3"/>
  <c r="I216" i="3"/>
  <c r="G216" i="3"/>
  <c r="F216" i="3"/>
  <c r="I215" i="3"/>
  <c r="G215" i="3"/>
  <c r="F215" i="3"/>
  <c r="I214" i="3"/>
  <c r="G214" i="3"/>
  <c r="F214" i="3"/>
  <c r="I213" i="3"/>
  <c r="G213" i="3"/>
  <c r="F213" i="3"/>
  <c r="I212" i="3"/>
  <c r="G212" i="3"/>
  <c r="F212" i="3"/>
  <c r="I211" i="3"/>
  <c r="G211" i="3"/>
  <c r="F211" i="3"/>
  <c r="I210" i="3"/>
  <c r="G210" i="3"/>
  <c r="F210" i="3"/>
  <c r="I209" i="3"/>
  <c r="G209" i="3"/>
  <c r="F209" i="3"/>
  <c r="I208" i="3"/>
  <c r="G208" i="3"/>
  <c r="F208" i="3"/>
  <c r="I207" i="3"/>
  <c r="G207" i="3"/>
  <c r="F207" i="3"/>
  <c r="I206" i="3"/>
  <c r="G206" i="3"/>
  <c r="F206" i="3"/>
  <c r="I205" i="3"/>
  <c r="G205" i="3"/>
  <c r="F205" i="3"/>
  <c r="I204" i="3"/>
  <c r="G204" i="3"/>
  <c r="F204" i="3"/>
  <c r="I203" i="3"/>
  <c r="G203" i="3"/>
  <c r="F203" i="3"/>
  <c r="I202" i="3"/>
  <c r="G202" i="3"/>
  <c r="F202" i="3"/>
  <c r="I201" i="3"/>
  <c r="G201" i="3"/>
  <c r="F201" i="3"/>
  <c r="I200" i="3"/>
  <c r="G200" i="3"/>
  <c r="F200" i="3"/>
  <c r="I199" i="3"/>
  <c r="G199" i="3"/>
  <c r="F199" i="3"/>
  <c r="I198" i="3"/>
  <c r="G198" i="3"/>
  <c r="F198" i="3"/>
  <c r="I197" i="3"/>
  <c r="G197" i="3"/>
  <c r="F197" i="3"/>
  <c r="I196" i="3"/>
  <c r="G196" i="3"/>
  <c r="F196" i="3"/>
  <c r="I195" i="3"/>
  <c r="G195" i="3"/>
  <c r="F195" i="3"/>
  <c r="I194" i="3"/>
  <c r="G194" i="3"/>
  <c r="F194" i="3"/>
  <c r="I193" i="3"/>
  <c r="G193" i="3"/>
  <c r="F193" i="3"/>
  <c r="I192" i="3"/>
  <c r="G192" i="3"/>
  <c r="F192" i="3"/>
  <c r="I191" i="3"/>
  <c r="G191" i="3"/>
  <c r="F191" i="3"/>
  <c r="I190" i="3"/>
  <c r="G190" i="3"/>
  <c r="F190" i="3"/>
  <c r="I189" i="3"/>
  <c r="G189" i="3"/>
  <c r="F189" i="3"/>
  <c r="I188" i="3"/>
  <c r="G188" i="3"/>
  <c r="F188" i="3"/>
  <c r="I187" i="3"/>
  <c r="G187" i="3"/>
  <c r="F187" i="3"/>
  <c r="I186" i="3"/>
  <c r="G186" i="3"/>
  <c r="F186" i="3"/>
  <c r="I185" i="3"/>
  <c r="G185" i="3"/>
  <c r="F185" i="3"/>
  <c r="I184" i="3"/>
  <c r="G184" i="3"/>
  <c r="F184" i="3"/>
  <c r="I183" i="3"/>
  <c r="G183" i="3"/>
  <c r="F183" i="3"/>
  <c r="I182" i="3"/>
  <c r="G182" i="3"/>
  <c r="F182" i="3"/>
  <c r="I181" i="3"/>
  <c r="G181" i="3"/>
  <c r="F181" i="3"/>
  <c r="I180" i="3"/>
  <c r="G180" i="3"/>
  <c r="F180" i="3"/>
  <c r="I179" i="3"/>
  <c r="G179" i="3"/>
  <c r="F179" i="3"/>
  <c r="I178" i="3"/>
  <c r="G178" i="3"/>
  <c r="F178" i="3"/>
  <c r="I177" i="3"/>
  <c r="G177" i="3"/>
  <c r="F177" i="3"/>
  <c r="I176" i="3"/>
  <c r="G176" i="3"/>
  <c r="F176" i="3"/>
  <c r="I175" i="3"/>
  <c r="G175" i="3"/>
  <c r="F175" i="3"/>
  <c r="I174" i="3"/>
  <c r="G174" i="3"/>
  <c r="F174" i="3"/>
  <c r="I173" i="3"/>
  <c r="G173" i="3"/>
  <c r="F173" i="3"/>
  <c r="I172" i="3"/>
  <c r="G172" i="3"/>
  <c r="F172" i="3"/>
  <c r="I171" i="3"/>
  <c r="G171" i="3"/>
  <c r="F171" i="3"/>
  <c r="I170" i="3"/>
  <c r="G170" i="3"/>
  <c r="F170" i="3"/>
  <c r="I169" i="3"/>
  <c r="G169" i="3"/>
  <c r="F169" i="3"/>
  <c r="I168" i="3"/>
  <c r="G168" i="3"/>
  <c r="F168" i="3"/>
  <c r="I167" i="3"/>
  <c r="G167" i="3"/>
  <c r="F167" i="3"/>
  <c r="I166" i="3"/>
  <c r="G166" i="3"/>
  <c r="F166" i="3"/>
  <c r="I165" i="3"/>
  <c r="G165" i="3"/>
  <c r="F165" i="3"/>
  <c r="I164" i="3"/>
  <c r="G164" i="3"/>
  <c r="F164" i="3"/>
  <c r="I163" i="3"/>
  <c r="G163" i="3"/>
  <c r="F163" i="3"/>
  <c r="I162" i="3"/>
  <c r="G162" i="3"/>
  <c r="F162" i="3"/>
  <c r="I161" i="3"/>
  <c r="G161" i="3"/>
  <c r="F161" i="3"/>
  <c r="I160" i="3"/>
  <c r="G160" i="3"/>
  <c r="F160" i="3"/>
  <c r="I159" i="3"/>
  <c r="G159" i="3"/>
  <c r="F159" i="3"/>
  <c r="I158" i="3"/>
  <c r="G158" i="3"/>
  <c r="F158" i="3"/>
  <c r="I157" i="3"/>
  <c r="G157" i="3"/>
  <c r="F157" i="3"/>
  <c r="I156" i="3"/>
  <c r="G156" i="3"/>
  <c r="F156" i="3"/>
  <c r="I155" i="3"/>
  <c r="G155" i="3"/>
  <c r="F155" i="3"/>
  <c r="I154" i="3"/>
  <c r="G154" i="3"/>
  <c r="F154" i="3"/>
  <c r="I153" i="3"/>
  <c r="G153" i="3"/>
  <c r="F153" i="3"/>
  <c r="I152" i="3"/>
  <c r="G152" i="3"/>
  <c r="F152" i="3"/>
  <c r="I151" i="3"/>
  <c r="G151" i="3"/>
  <c r="F151" i="3"/>
  <c r="I150" i="3"/>
  <c r="G150" i="3"/>
  <c r="F150" i="3"/>
  <c r="I149" i="3"/>
  <c r="G149" i="3"/>
  <c r="F149" i="3"/>
  <c r="I148" i="3"/>
  <c r="G148" i="3"/>
  <c r="F148" i="3"/>
  <c r="I147" i="3"/>
  <c r="G147" i="3"/>
  <c r="F147" i="3"/>
  <c r="I146" i="3"/>
  <c r="G146" i="3"/>
  <c r="F146" i="3"/>
  <c r="I145" i="3"/>
  <c r="G145" i="3"/>
  <c r="F145" i="3"/>
  <c r="I144" i="3"/>
  <c r="G144" i="3"/>
  <c r="F144" i="3"/>
  <c r="I143" i="3"/>
  <c r="G143" i="3"/>
  <c r="F143" i="3"/>
  <c r="I142" i="3"/>
  <c r="G142" i="3"/>
  <c r="F142" i="3"/>
  <c r="I141" i="3"/>
  <c r="G141" i="3"/>
  <c r="F141" i="3"/>
  <c r="I140" i="3"/>
  <c r="G140" i="3"/>
  <c r="F140" i="3"/>
  <c r="I139" i="3"/>
  <c r="G139" i="3"/>
  <c r="F139" i="3"/>
  <c r="I138" i="3"/>
  <c r="G138" i="3"/>
  <c r="F138" i="3"/>
  <c r="I137" i="3"/>
  <c r="G137" i="3"/>
  <c r="F137" i="3"/>
  <c r="I136" i="3"/>
  <c r="G136" i="3"/>
  <c r="F136" i="3"/>
  <c r="I135" i="3"/>
  <c r="G135" i="3"/>
  <c r="F135" i="3"/>
  <c r="I134" i="3"/>
  <c r="G134" i="3"/>
  <c r="F134" i="3"/>
  <c r="I133" i="3"/>
  <c r="G133" i="3"/>
  <c r="F133" i="3"/>
  <c r="I132" i="3"/>
  <c r="G132" i="3"/>
  <c r="F132" i="3"/>
  <c r="I131" i="3"/>
  <c r="G131" i="3"/>
  <c r="F131" i="3"/>
  <c r="I130" i="3"/>
  <c r="G130" i="3"/>
  <c r="F130" i="3"/>
  <c r="I129" i="3"/>
  <c r="G129" i="3"/>
  <c r="F129" i="3"/>
  <c r="I128" i="3"/>
  <c r="G128" i="3"/>
  <c r="F128" i="3"/>
  <c r="I127" i="3"/>
  <c r="G127" i="3"/>
  <c r="F127" i="3"/>
  <c r="I126" i="3"/>
  <c r="G126" i="3"/>
  <c r="F126" i="3"/>
  <c r="I125" i="3"/>
  <c r="G125" i="3"/>
  <c r="F125" i="3"/>
  <c r="I124" i="3"/>
  <c r="G124" i="3"/>
  <c r="F124" i="3"/>
  <c r="I123" i="3"/>
  <c r="G123" i="3"/>
  <c r="F123" i="3"/>
  <c r="I122" i="3"/>
  <c r="G122" i="3"/>
  <c r="F122" i="3"/>
  <c r="I121" i="3"/>
  <c r="G121" i="3"/>
  <c r="F121" i="3"/>
  <c r="I120" i="3"/>
  <c r="G120" i="3"/>
  <c r="F120" i="3"/>
  <c r="I119" i="3"/>
  <c r="G119" i="3"/>
  <c r="F119" i="3"/>
  <c r="I118" i="3"/>
  <c r="G118" i="3"/>
  <c r="F118" i="3"/>
  <c r="I117" i="3"/>
  <c r="G117" i="3"/>
  <c r="F117" i="3"/>
  <c r="I116" i="3"/>
  <c r="G116" i="3"/>
  <c r="F116" i="3"/>
  <c r="I115" i="3"/>
  <c r="G115" i="3"/>
  <c r="F115" i="3"/>
  <c r="I114" i="3"/>
  <c r="G114" i="3"/>
  <c r="F114" i="3"/>
  <c r="I113" i="3"/>
  <c r="G113" i="3"/>
  <c r="F113" i="3"/>
  <c r="I112" i="3"/>
  <c r="G112" i="3"/>
  <c r="F112" i="3"/>
  <c r="I111" i="3"/>
  <c r="G111" i="3"/>
  <c r="F111" i="3"/>
  <c r="I110" i="3"/>
  <c r="G110" i="3"/>
  <c r="F110" i="3"/>
  <c r="I109" i="3"/>
  <c r="G109" i="3"/>
  <c r="F109" i="3"/>
  <c r="I108" i="3"/>
  <c r="G108" i="3"/>
  <c r="F108" i="3"/>
  <c r="I107" i="3"/>
  <c r="G107" i="3"/>
  <c r="F107" i="3"/>
  <c r="I106" i="3"/>
  <c r="G106" i="3"/>
  <c r="F106" i="3"/>
  <c r="I105" i="3"/>
  <c r="G105" i="3"/>
  <c r="F105" i="3"/>
  <c r="I104" i="3"/>
  <c r="G104" i="3"/>
  <c r="F104" i="3"/>
  <c r="I103" i="3"/>
  <c r="G103" i="3"/>
  <c r="F103" i="3"/>
  <c r="I102" i="3"/>
  <c r="G102" i="3"/>
  <c r="F102" i="3"/>
  <c r="I101" i="3"/>
  <c r="G101" i="3"/>
  <c r="F101" i="3"/>
  <c r="I100" i="3"/>
  <c r="G100" i="3"/>
  <c r="F100" i="3"/>
  <c r="I99" i="3"/>
  <c r="G99" i="3"/>
  <c r="F99" i="3"/>
  <c r="I98" i="3"/>
  <c r="G98" i="3"/>
  <c r="F98" i="3"/>
  <c r="I97" i="3"/>
  <c r="G97" i="3"/>
  <c r="F97" i="3"/>
  <c r="I96" i="3"/>
  <c r="G96" i="3"/>
  <c r="F96" i="3"/>
  <c r="I95" i="3"/>
  <c r="G95" i="3"/>
  <c r="F95" i="3"/>
  <c r="I94" i="3"/>
  <c r="G94" i="3"/>
  <c r="F94" i="3"/>
  <c r="I93" i="3"/>
  <c r="G93" i="3"/>
  <c r="F93" i="3"/>
  <c r="I92" i="3"/>
  <c r="G92" i="3"/>
  <c r="F92" i="3"/>
  <c r="I91" i="3"/>
  <c r="G91" i="3"/>
  <c r="F91" i="3"/>
  <c r="I90" i="3"/>
  <c r="G90" i="3"/>
  <c r="F90" i="3"/>
  <c r="I89" i="3"/>
  <c r="G89" i="3"/>
  <c r="F89" i="3"/>
  <c r="I88" i="3"/>
  <c r="G88" i="3"/>
  <c r="F88" i="3"/>
  <c r="I87" i="3"/>
  <c r="G87" i="3"/>
  <c r="F87" i="3"/>
  <c r="I86" i="3"/>
  <c r="G86" i="3"/>
  <c r="F86" i="3"/>
  <c r="I85" i="3"/>
  <c r="G85" i="3"/>
  <c r="F85" i="3"/>
  <c r="I84" i="3"/>
  <c r="G84" i="3"/>
  <c r="F84" i="3"/>
  <c r="I83" i="3"/>
  <c r="G83" i="3"/>
  <c r="F83" i="3"/>
  <c r="I82" i="3"/>
  <c r="G82" i="3"/>
  <c r="F82" i="3"/>
  <c r="I81" i="3"/>
  <c r="G81" i="3"/>
  <c r="F81" i="3"/>
  <c r="I80" i="3"/>
  <c r="G80" i="3"/>
  <c r="F80" i="3"/>
  <c r="I79" i="3"/>
  <c r="G79" i="3"/>
  <c r="F79" i="3"/>
  <c r="I78" i="3"/>
  <c r="G78" i="3"/>
  <c r="F78" i="3"/>
  <c r="I77" i="3"/>
  <c r="G77" i="3"/>
  <c r="F77" i="3"/>
  <c r="I76" i="3"/>
  <c r="G76" i="3"/>
  <c r="F76" i="3"/>
  <c r="I75" i="3"/>
  <c r="G75" i="3"/>
  <c r="F75" i="3"/>
  <c r="I74" i="3"/>
  <c r="G74" i="3"/>
  <c r="F74" i="3"/>
  <c r="I73" i="3"/>
  <c r="G73" i="3"/>
  <c r="F73" i="3"/>
  <c r="I72" i="3"/>
  <c r="G72" i="3"/>
  <c r="F72" i="3"/>
  <c r="I71" i="3"/>
  <c r="G71" i="3"/>
  <c r="F71" i="3"/>
  <c r="I70" i="3"/>
  <c r="G70" i="3"/>
  <c r="F70" i="3"/>
  <c r="I69" i="3"/>
  <c r="G69" i="3"/>
  <c r="F69" i="3"/>
  <c r="I68" i="3"/>
  <c r="G68" i="3"/>
  <c r="F68" i="3"/>
  <c r="I67" i="3"/>
  <c r="G67" i="3"/>
  <c r="F67" i="3"/>
  <c r="I66" i="3"/>
  <c r="G66" i="3"/>
  <c r="F66" i="3"/>
  <c r="I65" i="3"/>
  <c r="G65" i="3"/>
  <c r="F65" i="3"/>
  <c r="I64" i="3"/>
  <c r="G64" i="3"/>
  <c r="F64" i="3"/>
  <c r="I63" i="3"/>
  <c r="G63" i="3"/>
  <c r="F63" i="3"/>
  <c r="I62" i="3"/>
  <c r="G62" i="3"/>
  <c r="F62" i="3"/>
  <c r="I61" i="3"/>
  <c r="G61" i="3"/>
  <c r="F61" i="3"/>
  <c r="I60" i="3"/>
  <c r="G60" i="3"/>
  <c r="F60" i="3"/>
  <c r="I59" i="3"/>
  <c r="G59" i="3"/>
  <c r="F59" i="3"/>
  <c r="I58" i="3"/>
  <c r="G58" i="3"/>
  <c r="F58" i="3"/>
  <c r="I57" i="3"/>
  <c r="G57" i="3"/>
  <c r="F57" i="3"/>
  <c r="I56" i="3"/>
  <c r="G56" i="3"/>
  <c r="F56" i="3"/>
  <c r="I55" i="3"/>
  <c r="G55" i="3"/>
  <c r="F55" i="3"/>
  <c r="I54" i="3"/>
  <c r="G54" i="3"/>
  <c r="F54" i="3"/>
  <c r="I53" i="3"/>
  <c r="G53" i="3"/>
  <c r="F53" i="3"/>
  <c r="I52" i="3"/>
  <c r="G52" i="3"/>
  <c r="F52" i="3"/>
  <c r="I51" i="3"/>
  <c r="G51" i="3"/>
  <c r="F51" i="3"/>
  <c r="I50" i="3"/>
  <c r="G50" i="3"/>
  <c r="F50" i="3"/>
  <c r="I49" i="3"/>
  <c r="G49" i="3"/>
  <c r="F49" i="3"/>
  <c r="I48" i="3"/>
  <c r="G48" i="3"/>
  <c r="F48" i="3"/>
  <c r="I47" i="3"/>
  <c r="G47" i="3"/>
  <c r="F47" i="3"/>
  <c r="I46" i="3"/>
  <c r="G46" i="3"/>
  <c r="F46" i="3"/>
  <c r="I45" i="3"/>
  <c r="G45" i="3"/>
  <c r="F45" i="3"/>
  <c r="I44" i="3"/>
  <c r="G44" i="3"/>
  <c r="F44" i="3"/>
  <c r="I43" i="3"/>
  <c r="G43" i="3"/>
  <c r="F43" i="3"/>
  <c r="I42" i="3"/>
  <c r="G42" i="3"/>
  <c r="F42" i="3"/>
  <c r="I41" i="3"/>
  <c r="G41" i="3"/>
  <c r="F41" i="3"/>
  <c r="I40" i="3"/>
  <c r="G40" i="3"/>
  <c r="F40" i="3"/>
  <c r="I39" i="3"/>
  <c r="G39" i="3"/>
  <c r="F39" i="3"/>
  <c r="I38" i="3"/>
  <c r="G38" i="3"/>
  <c r="F38" i="3"/>
  <c r="I37" i="3"/>
  <c r="G37" i="3"/>
  <c r="F37" i="3"/>
  <c r="I36" i="3"/>
  <c r="G36" i="3"/>
  <c r="F36" i="3"/>
  <c r="I35" i="3"/>
  <c r="G35" i="3"/>
  <c r="F35" i="3"/>
  <c r="I34" i="3"/>
  <c r="G34" i="3"/>
  <c r="F34" i="3"/>
  <c r="I33" i="3"/>
  <c r="G33" i="3"/>
  <c r="F33" i="3"/>
  <c r="I32" i="3"/>
  <c r="G32" i="3"/>
  <c r="F32" i="3"/>
  <c r="I31" i="3"/>
  <c r="G31" i="3"/>
  <c r="F31" i="3"/>
  <c r="I30" i="3"/>
  <c r="G30" i="3"/>
  <c r="F30" i="3"/>
  <c r="I29" i="3"/>
  <c r="G29" i="3"/>
  <c r="F29" i="3"/>
  <c r="I28" i="3"/>
  <c r="G28" i="3"/>
  <c r="F28" i="3"/>
  <c r="I27" i="3"/>
  <c r="G27" i="3"/>
  <c r="F27" i="3"/>
  <c r="I26" i="3"/>
  <c r="G26" i="3"/>
  <c r="F26" i="3"/>
  <c r="I25" i="3"/>
  <c r="G25" i="3"/>
  <c r="F25" i="3"/>
  <c r="I24" i="3"/>
  <c r="G24" i="3"/>
  <c r="F24" i="3"/>
  <c r="I23" i="3"/>
  <c r="G23" i="3"/>
  <c r="F23" i="3"/>
  <c r="I22" i="3"/>
  <c r="G22" i="3"/>
  <c r="F22" i="3"/>
  <c r="I21" i="3"/>
  <c r="G21" i="3"/>
  <c r="F21" i="3"/>
  <c r="I20" i="3"/>
  <c r="G20" i="3"/>
  <c r="F20" i="3"/>
  <c r="I19" i="3"/>
  <c r="G19" i="3"/>
  <c r="F19" i="3"/>
  <c r="I18" i="3"/>
  <c r="G18" i="3"/>
  <c r="F18" i="3"/>
  <c r="I17" i="3"/>
  <c r="G17" i="3"/>
  <c r="F17" i="3"/>
  <c r="I16" i="3"/>
  <c r="G16" i="3"/>
  <c r="F16" i="3"/>
  <c r="I15" i="3"/>
  <c r="G15" i="3"/>
  <c r="F15" i="3"/>
  <c r="I14" i="3"/>
  <c r="G14" i="3"/>
  <c r="F14" i="3"/>
  <c r="I13" i="3"/>
  <c r="G13" i="3"/>
  <c r="F13" i="3"/>
  <c r="I12" i="3"/>
  <c r="G12" i="3"/>
  <c r="F12" i="3"/>
  <c r="I11" i="3"/>
  <c r="G11" i="3"/>
  <c r="F11" i="3"/>
  <c r="I10" i="3"/>
  <c r="G10" i="3"/>
  <c r="F10" i="3"/>
  <c r="I9" i="3"/>
  <c r="G9" i="3"/>
  <c r="F9" i="3"/>
  <c r="H5" i="3"/>
  <c r="F5" i="3"/>
  <c r="D5" i="3"/>
  <c r="B5" i="3"/>
  <c r="I209" i="2"/>
  <c r="H209" i="2"/>
  <c r="I208" i="2"/>
  <c r="H208" i="2"/>
  <c r="I207" i="2"/>
  <c r="H207" i="2"/>
  <c r="I206" i="2"/>
  <c r="H206" i="2"/>
  <c r="I205" i="2"/>
  <c r="H205" i="2"/>
  <c r="I204" i="2"/>
  <c r="H204" i="2"/>
  <c r="I203" i="2"/>
  <c r="H203" i="2"/>
  <c r="I202" i="2"/>
  <c r="H202" i="2"/>
  <c r="I201" i="2"/>
  <c r="H201" i="2"/>
  <c r="I200" i="2"/>
  <c r="H200" i="2"/>
  <c r="I199" i="2"/>
  <c r="H199" i="2"/>
  <c r="I198" i="2"/>
  <c r="H198" i="2"/>
  <c r="I197" i="2"/>
  <c r="H197" i="2"/>
  <c r="I196" i="2"/>
  <c r="H196" i="2"/>
  <c r="I195" i="2"/>
  <c r="H195" i="2"/>
  <c r="I194" i="2"/>
  <c r="H194" i="2"/>
  <c r="I193" i="2"/>
  <c r="H193" i="2"/>
  <c r="I192" i="2"/>
  <c r="H192" i="2"/>
  <c r="I191" i="2"/>
  <c r="H191" i="2"/>
  <c r="I190" i="2"/>
  <c r="H190" i="2"/>
  <c r="I189" i="2"/>
  <c r="H189" i="2"/>
  <c r="I188" i="2"/>
  <c r="H188" i="2"/>
  <c r="I187" i="2"/>
  <c r="H187" i="2"/>
  <c r="I186" i="2"/>
  <c r="H186" i="2"/>
  <c r="I185" i="2"/>
  <c r="H185" i="2"/>
  <c r="I184" i="2"/>
  <c r="H184" i="2"/>
  <c r="I183" i="2"/>
  <c r="H183" i="2"/>
  <c r="I182" i="2"/>
  <c r="H182" i="2"/>
  <c r="I181" i="2"/>
  <c r="H181" i="2"/>
  <c r="I180" i="2"/>
  <c r="H180" i="2"/>
  <c r="I179" i="2"/>
  <c r="H179" i="2"/>
  <c r="I178" i="2"/>
  <c r="H178" i="2"/>
  <c r="I177" i="2"/>
  <c r="H177" i="2"/>
  <c r="I176" i="2"/>
  <c r="H176" i="2"/>
  <c r="I175" i="2"/>
  <c r="H175" i="2"/>
  <c r="I174" i="2"/>
  <c r="H174" i="2"/>
  <c r="I173" i="2"/>
  <c r="H173" i="2"/>
  <c r="I172" i="2"/>
  <c r="H172" i="2"/>
  <c r="I171" i="2"/>
  <c r="H171" i="2"/>
  <c r="I170" i="2"/>
  <c r="H170" i="2"/>
  <c r="I169" i="2"/>
  <c r="H169" i="2"/>
  <c r="I168" i="2"/>
  <c r="H168" i="2"/>
  <c r="I167" i="2"/>
  <c r="H167" i="2"/>
  <c r="I166" i="2"/>
  <c r="H166" i="2"/>
  <c r="I165" i="2"/>
  <c r="H165" i="2"/>
  <c r="I164" i="2"/>
  <c r="H164" i="2"/>
  <c r="I163" i="2"/>
  <c r="H163" i="2"/>
  <c r="I162" i="2"/>
  <c r="H162" i="2"/>
  <c r="I161" i="2"/>
  <c r="H161" i="2"/>
  <c r="I160" i="2"/>
  <c r="H160" i="2"/>
  <c r="I159" i="2"/>
  <c r="H159" i="2"/>
  <c r="I158" i="2"/>
  <c r="H158" i="2"/>
  <c r="I157" i="2"/>
  <c r="H157" i="2"/>
  <c r="I156" i="2"/>
  <c r="H156" i="2"/>
  <c r="I155" i="2"/>
  <c r="H155" i="2"/>
  <c r="I154" i="2"/>
  <c r="H154" i="2"/>
  <c r="I153" i="2"/>
  <c r="H153" i="2"/>
  <c r="I152" i="2"/>
  <c r="H152" i="2"/>
  <c r="I151" i="2"/>
  <c r="H151" i="2"/>
  <c r="I150" i="2"/>
  <c r="H150" i="2"/>
  <c r="I149" i="2"/>
  <c r="H149" i="2"/>
  <c r="I148" i="2"/>
  <c r="H148" i="2"/>
  <c r="I147" i="2"/>
  <c r="H147" i="2"/>
  <c r="I146" i="2"/>
  <c r="H146" i="2"/>
  <c r="I145" i="2"/>
  <c r="H145" i="2"/>
  <c r="I144" i="2"/>
  <c r="H144" i="2"/>
  <c r="I143" i="2"/>
  <c r="H143" i="2"/>
  <c r="I142" i="2"/>
  <c r="H142" i="2"/>
  <c r="I141" i="2"/>
  <c r="H141" i="2"/>
  <c r="I140" i="2"/>
  <c r="H140" i="2"/>
  <c r="I139" i="2"/>
  <c r="H139" i="2"/>
  <c r="I138" i="2"/>
  <c r="H138" i="2"/>
  <c r="I137" i="2"/>
  <c r="H137" i="2"/>
  <c r="I136" i="2"/>
  <c r="H136" i="2"/>
  <c r="I135" i="2"/>
  <c r="H135" i="2"/>
  <c r="I134" i="2"/>
  <c r="H134" i="2"/>
  <c r="I133" i="2"/>
  <c r="H133" i="2"/>
  <c r="I132" i="2"/>
  <c r="H132" i="2"/>
  <c r="I131" i="2"/>
  <c r="H131" i="2"/>
  <c r="I130" i="2"/>
  <c r="H130" i="2"/>
  <c r="I129" i="2"/>
  <c r="H129" i="2"/>
  <c r="I128" i="2"/>
  <c r="H128" i="2"/>
  <c r="I127" i="2"/>
  <c r="H127" i="2"/>
  <c r="I126" i="2"/>
  <c r="H126" i="2"/>
  <c r="I125" i="2"/>
  <c r="H125" i="2"/>
  <c r="I124" i="2"/>
  <c r="H124" i="2"/>
  <c r="I123" i="2"/>
  <c r="H123" i="2"/>
  <c r="I122" i="2"/>
  <c r="H122" i="2"/>
  <c r="I121" i="2"/>
  <c r="H121" i="2"/>
  <c r="I120" i="2"/>
  <c r="H120" i="2"/>
  <c r="I119" i="2"/>
  <c r="H119" i="2"/>
  <c r="I118" i="2"/>
  <c r="H118" i="2"/>
  <c r="I117" i="2"/>
  <c r="H117" i="2"/>
  <c r="I116" i="2"/>
  <c r="H116" i="2"/>
  <c r="I115" i="2"/>
  <c r="H115" i="2"/>
  <c r="I114" i="2"/>
  <c r="H114" i="2"/>
  <c r="I113" i="2"/>
  <c r="H113" i="2"/>
  <c r="I112" i="2"/>
  <c r="H112" i="2"/>
  <c r="I111" i="2"/>
  <c r="H111" i="2"/>
  <c r="I110" i="2"/>
  <c r="H110" i="2"/>
  <c r="I109" i="2"/>
  <c r="H109" i="2"/>
  <c r="I108" i="2"/>
  <c r="H108" i="2"/>
  <c r="I107" i="2"/>
  <c r="H107" i="2"/>
  <c r="I106" i="2"/>
  <c r="H106" i="2"/>
  <c r="I105" i="2"/>
  <c r="H105" i="2"/>
  <c r="I104" i="2"/>
  <c r="H104" i="2"/>
  <c r="I103" i="2"/>
  <c r="H103" i="2"/>
  <c r="I102" i="2"/>
  <c r="H102" i="2"/>
  <c r="I101" i="2"/>
  <c r="H101" i="2"/>
  <c r="I100" i="2"/>
  <c r="H100" i="2"/>
  <c r="I99" i="2"/>
  <c r="H99" i="2"/>
  <c r="I98" i="2"/>
  <c r="H98" i="2"/>
  <c r="I97" i="2"/>
  <c r="H97" i="2"/>
  <c r="I96" i="2"/>
  <c r="H96" i="2"/>
  <c r="I95" i="2"/>
  <c r="H95" i="2"/>
  <c r="I94" i="2"/>
  <c r="H94" i="2"/>
  <c r="I93" i="2"/>
  <c r="H93" i="2"/>
  <c r="I92" i="2"/>
  <c r="H92" i="2"/>
  <c r="I91" i="2"/>
  <c r="H91" i="2"/>
  <c r="I90" i="2"/>
  <c r="H90" i="2"/>
  <c r="I89" i="2"/>
  <c r="H89" i="2"/>
  <c r="I88" i="2"/>
  <c r="H88" i="2"/>
  <c r="I87" i="2"/>
  <c r="H87" i="2"/>
  <c r="I86" i="2"/>
  <c r="H86" i="2"/>
  <c r="I85" i="2"/>
  <c r="H85" i="2"/>
  <c r="I84" i="2"/>
  <c r="H84" i="2"/>
  <c r="I83" i="2"/>
  <c r="H83" i="2"/>
  <c r="I82" i="2"/>
  <c r="H82" i="2"/>
  <c r="I81" i="2"/>
  <c r="H81" i="2"/>
  <c r="I80" i="2"/>
  <c r="H80" i="2"/>
  <c r="I79" i="2"/>
  <c r="H79" i="2"/>
  <c r="I78" i="2"/>
  <c r="H78" i="2"/>
  <c r="I77" i="2"/>
  <c r="H77" i="2"/>
  <c r="I76" i="2"/>
  <c r="H76" i="2"/>
  <c r="I75" i="2"/>
  <c r="H75" i="2"/>
  <c r="I74" i="2"/>
  <c r="H74" i="2"/>
  <c r="I73" i="2"/>
  <c r="H73" i="2"/>
  <c r="I72" i="2"/>
  <c r="H72" i="2"/>
  <c r="I71" i="2"/>
  <c r="H71" i="2"/>
  <c r="I70" i="2"/>
  <c r="H70" i="2"/>
  <c r="I69" i="2"/>
  <c r="H69" i="2"/>
  <c r="I68" i="2"/>
  <c r="H68" i="2"/>
  <c r="I67" i="2"/>
  <c r="H67" i="2"/>
  <c r="I66" i="2"/>
  <c r="H66" i="2"/>
  <c r="I65" i="2"/>
  <c r="H65" i="2"/>
  <c r="I64" i="2"/>
  <c r="H64" i="2"/>
  <c r="I63" i="2"/>
  <c r="H63" i="2"/>
  <c r="I62" i="2"/>
  <c r="H62" i="2"/>
  <c r="I61" i="2"/>
  <c r="H61" i="2"/>
  <c r="I60" i="2"/>
  <c r="H60" i="2"/>
  <c r="I59" i="2"/>
  <c r="H59" i="2"/>
  <c r="I58" i="2"/>
  <c r="H58" i="2"/>
  <c r="I57" i="2"/>
  <c r="H57" i="2"/>
  <c r="I56" i="2"/>
  <c r="H56" i="2"/>
  <c r="I55" i="2"/>
  <c r="H55" i="2"/>
  <c r="I54" i="2"/>
  <c r="H54" i="2"/>
  <c r="I53" i="2"/>
  <c r="H53" i="2"/>
  <c r="I52" i="2"/>
  <c r="H52" i="2"/>
  <c r="I51" i="2"/>
  <c r="H51" i="2"/>
  <c r="I50" i="2"/>
  <c r="H50" i="2"/>
  <c r="I49" i="2"/>
  <c r="H49" i="2"/>
  <c r="I48" i="2"/>
  <c r="H48" i="2"/>
  <c r="I47" i="2"/>
  <c r="H47" i="2"/>
  <c r="I46" i="2"/>
  <c r="H46" i="2"/>
  <c r="I45" i="2"/>
  <c r="H45" i="2"/>
  <c r="I44" i="2"/>
  <c r="H44" i="2"/>
  <c r="I43" i="2"/>
  <c r="H43" i="2"/>
  <c r="I42" i="2"/>
  <c r="H42" i="2"/>
  <c r="I41" i="2"/>
  <c r="H41" i="2"/>
  <c r="I40" i="2"/>
  <c r="H40" i="2"/>
  <c r="I39" i="2"/>
  <c r="H39" i="2"/>
  <c r="I38" i="2"/>
  <c r="H38" i="2"/>
  <c r="I37" i="2"/>
  <c r="H37" i="2"/>
  <c r="I36" i="2"/>
  <c r="H36" i="2"/>
  <c r="I35" i="2"/>
  <c r="H35" i="2"/>
  <c r="I34" i="2"/>
  <c r="H34" i="2"/>
  <c r="I33" i="2"/>
  <c r="H33" i="2"/>
  <c r="I32" i="2"/>
  <c r="H32" i="2"/>
  <c r="I31" i="2"/>
  <c r="H31" i="2"/>
  <c r="I30" i="2"/>
  <c r="H30" i="2"/>
  <c r="I29" i="2"/>
  <c r="H29" i="2"/>
  <c r="I28" i="2"/>
  <c r="H28" i="2"/>
  <c r="I27" i="2"/>
  <c r="H27" i="2"/>
  <c r="I26" i="2"/>
  <c r="H26" i="2"/>
  <c r="I25" i="2"/>
  <c r="H25" i="2"/>
  <c r="I24" i="2"/>
  <c r="H24" i="2"/>
  <c r="I23" i="2"/>
  <c r="H23" i="2"/>
  <c r="H22" i="2"/>
  <c r="I22" i="2" s="1"/>
  <c r="H21" i="2"/>
  <c r="I21" i="2" s="1"/>
  <c r="H20" i="2"/>
  <c r="I20" i="2" s="1"/>
  <c r="H19" i="2"/>
  <c r="I19" i="2" s="1"/>
  <c r="H18" i="2"/>
  <c r="I18" i="2" s="1"/>
  <c r="H17" i="2"/>
  <c r="I17" i="2" s="1"/>
  <c r="H16" i="2"/>
  <c r="I16" i="2" s="1"/>
  <c r="H15" i="2"/>
  <c r="I15" i="2" s="1"/>
  <c r="H14" i="2"/>
  <c r="I14" i="2" s="1"/>
  <c r="H13" i="2"/>
  <c r="I13" i="2" s="1"/>
  <c r="H12" i="2"/>
  <c r="I12" i="2" s="1"/>
  <c r="H11" i="2"/>
  <c r="I11" i="2" s="1"/>
  <c r="H10" i="2"/>
  <c r="I10" i="2" s="1"/>
  <c r="B5" i="2"/>
  <c r="D19" i="1"/>
  <c r="D18" i="1"/>
  <c r="F17" i="1"/>
  <c r="H17" i="1" s="1"/>
  <c r="D17" i="1"/>
  <c r="D16" i="1"/>
  <c r="D15" i="1"/>
  <c r="H9" i="1"/>
  <c r="F9" i="1"/>
  <c r="D9" i="1"/>
  <c r="B9" i="1"/>
  <c r="F19" i="1" l="1"/>
  <c r="H19" i="1" s="1"/>
  <c r="H5" i="2"/>
  <c r="D5" i="2"/>
  <c r="F5" i="2"/>
  <c r="F15" i="1"/>
  <c r="H15" i="1" s="1"/>
  <c r="F16" i="1"/>
  <c r="H16" i="1" s="1"/>
  <c r="F18" i="1"/>
  <c r="H18" i="1" s="1"/>
</calcChain>
</file>

<file path=xl/sharedStrings.xml><?xml version="1.0" encoding="utf-8"?>
<sst xmlns="http://schemas.openxmlformats.org/spreadsheetml/2006/main" count="208" uniqueCount="96">
  <si>
    <t>FILIAL DE GOLF PAPUDO  -  CONTROL DE STOCK PREMIOS 2026</t>
  </si>
  <si>
    <t>Actualizado: 20/05/2026  -  Gestion integral de inventario</t>
  </si>
  <si>
    <t>TOTAL PRODUCTOS</t>
  </si>
  <si>
    <t>CON STOCK</t>
  </si>
  <si>
    <t>STOCK BAJO</t>
  </si>
  <si>
    <t>AGOTADOS</t>
  </si>
  <si>
    <t xml:space="preserve">  RESUMEN POR CATEGORIA</t>
  </si>
  <si>
    <t>CATEGORIA</t>
  </si>
  <si>
    <t>PRODUCTOS</t>
  </si>
  <si>
    <t>STOCK TOTAL</t>
  </si>
  <si>
    <t>ESTADO</t>
  </si>
  <si>
    <t>COPA ABIERTO</t>
  </si>
  <si>
    <t>GORRO DE LANA</t>
  </si>
  <si>
    <t>PELOTAS DE GOLF</t>
  </si>
  <si>
    <t>GUANTES</t>
  </si>
  <si>
    <t>TROFEOS</t>
  </si>
  <si>
    <t>CATALOGO DE PRODUCTOS  -  CONTROL DE INVENTARIO</t>
  </si>
  <si>
    <t xml:space="preserve">  Para agregar nuevo producto: escriba el codigo en columna B de la primera fila vacia. Las formulas ya estan listas.</t>
  </si>
  <si>
    <t>CODIGO</t>
  </si>
  <si>
    <t>PRODUCTO</t>
  </si>
  <si>
    <t>DESCRIPCION</t>
  </si>
  <si>
    <t>UND.</t>
  </si>
  <si>
    <t>STOCK MIN.</t>
  </si>
  <si>
    <t>STOCK ACTUAL</t>
  </si>
  <si>
    <t>MT091</t>
  </si>
  <si>
    <t>TROFEO 35,5 COPA</t>
  </si>
  <si>
    <t>Copa alta premios Torneos Abiertos</t>
  </si>
  <si>
    <t>Und</t>
  </si>
  <si>
    <t>MT081</t>
  </si>
  <si>
    <t>TROFEO 35,5</t>
  </si>
  <si>
    <t>P93709-MMI</t>
  </si>
  <si>
    <t>GORRO ROSADO</t>
  </si>
  <si>
    <t>Premios Torneo Oficiales</t>
  </si>
  <si>
    <t>P93644-SEDS</t>
  </si>
  <si>
    <t>GORRO GRIS</t>
  </si>
  <si>
    <t>P03469-060</t>
  </si>
  <si>
    <t>GORRO NEGRO (060)</t>
  </si>
  <si>
    <t>P03469-N125</t>
  </si>
  <si>
    <t>GORRO NEGRO (N125)</t>
  </si>
  <si>
    <t>F001</t>
  </si>
  <si>
    <t>PELOTA SUPER SOFT WHITE</t>
  </si>
  <si>
    <t>Premios secundarios</t>
  </si>
  <si>
    <t>F003</t>
  </si>
  <si>
    <t>GUANTES DERECHO XL</t>
  </si>
  <si>
    <t>Guante mano derecho XL/TG/EG</t>
  </si>
  <si>
    <t>F004</t>
  </si>
  <si>
    <t>GUANTES DERECHO MD</t>
  </si>
  <si>
    <t>Guantes mano derecho MD/M</t>
  </si>
  <si>
    <t>F005</t>
  </si>
  <si>
    <t>GUANTES DERECHO LG</t>
  </si>
  <si>
    <t>Guante mano derecho LG/G</t>
  </si>
  <si>
    <t>HRF073-1</t>
  </si>
  <si>
    <t>TROFEO ESTRELLA PELOTA 17</t>
  </si>
  <si>
    <t>Copa 17 cm para premio Neto</t>
  </si>
  <si>
    <t>HRF073-2</t>
  </si>
  <si>
    <t>TROFEO ESTRELLA PELOTA 23</t>
  </si>
  <si>
    <t>Copa 23 cm para premio Gross</t>
  </si>
  <si>
    <t>A-004Q</t>
  </si>
  <si>
    <t>TROFEO RESINA GOLF 20CM</t>
  </si>
  <si>
    <t>Trofeo resina golf varon 20 cm</t>
  </si>
  <si>
    <t>REGISTRO DE MOVIMIENTOS  -  INGRESOS Y SALIDAS</t>
  </si>
  <si>
    <t>TOTAL MOVIMIENTOS</t>
  </si>
  <si>
    <t>INGRESOS</t>
  </si>
  <si>
    <t>SALIDAS</t>
  </si>
  <si>
    <t>EXISTENCIAS</t>
  </si>
  <si>
    <t xml:space="preserve">  Para nuevo movimiento: escriba en la primera fila vacia. Tipo: Ingreso, Salida o Existencia.</t>
  </si>
  <si>
    <t>FECHA</t>
  </si>
  <si>
    <t>TIPO</t>
  </si>
  <si>
    <t>COMPROBANTE</t>
  </si>
  <si>
    <t>CANTIDAD</t>
  </si>
  <si>
    <t>SALDO</t>
  </si>
  <si>
    <t>20/01/2025</t>
  </si>
  <si>
    <t>Existencia</t>
  </si>
  <si>
    <t>2025</t>
  </si>
  <si>
    <t>Ingreso</t>
  </si>
  <si>
    <t>02/08/2026</t>
  </si>
  <si>
    <t>2026</t>
  </si>
  <si>
    <t>15/06/2025</t>
  </si>
  <si>
    <t>04/08/2026</t>
  </si>
  <si>
    <t>Salida</t>
  </si>
  <si>
    <t>24/01/2026</t>
  </si>
  <si>
    <t>28/12/2025</t>
  </si>
  <si>
    <t>25/06/2026</t>
  </si>
  <si>
    <t>GUIA DE USO  -  CONTROL DE STOCK PREMIOS</t>
  </si>
  <si>
    <t xml:space="preserve">  USO DIARIO  -  Registrar movimientos</t>
  </si>
  <si>
    <t xml:space="preserve">  INGRESO de productos</t>
  </si>
  <si>
    <t xml:space="preserve">  1. Ir a la hoja Movimientos
2. En la primera fila vacia: escribir Fecha, Tipo='Ingreso', Comprobante, Codigo del producto y Cantidad
3. El stock se actualiza automaticamente en el Catalogo</t>
  </si>
  <si>
    <t xml:space="preserve">  SALIDA de productos (entrega de premio)</t>
  </si>
  <si>
    <t xml:space="preserve">  1. Ir a la hoja Movimientos
2. En la primera fila vacia: escribir Fecha, Tipo='Salida', Torneo/Evento, Codigo y Cantidad
3. El stock disminuye automaticamente</t>
  </si>
  <si>
    <t xml:space="preserve">  Agregar PRODUCTO NUEVO</t>
  </si>
  <si>
    <t xml:space="preserve">  1. Ir a la hoja Catalogo
2. En la primera fila vacia escribir: Codigo, Producto, Categoria, Descripcion, Und y Stock Minimo
3. Las columnas Stock Actual y Estado se calculan solas (ya tienen formula)
4. Para tener stock inicial, registrar en Movimientos como tipo 'Existencia'</t>
  </si>
  <si>
    <t xml:space="preserve">  Ver ALERTAS de stock bajo</t>
  </si>
  <si>
    <t xml:space="preserve">  Ir a Catalogo: las filas en rojo estan agotadas, las amarillas tienen stock bajo el minimo</t>
  </si>
  <si>
    <t xml:space="preserve">  AUTOMATIZACION CON BOTONES (OPCIONAL)</t>
  </si>
  <si>
    <t xml:space="preserve">  Esta planilla funciona 100% sin macros. Si desea agregar botones de acceso rapido para Nuevo Ingreso, Salida, etc., debera activar macros VBA. Esto requiere:
    1. Guardar el archivo como .xlsm (Excel habilitado para macros)
    2. Abrir el editor VBA (Alt + F11) e insertar un modulo
    3. Importar el archivo ModStock.bas o pegar el codigo provisto
    4. Asignar cada macro a su boton (clic derecho &gt; Asignar macro)
  Si tiene dudas, lo mas practico es usar la planilla SIN macros: es igual de funcional.</t>
  </si>
  <si>
    <t>20-05-2026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</si>
</sst>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charset val="1"/>
    </font>
    <font>
      <b/>
      <sz val="18"/>
      <color rgb="FFFFFFFF"/>
      <name val="Calibri"/>
      <charset val="1"/>
    </font>
    <font>
      <i/>
      <sz val="9"/>
      <color rgb="FF74C69D"/>
      <name val="Calibri"/>
      <charset val="1"/>
    </font>
    <font>
      <b/>
      <sz val="8"/>
      <color rgb="FFFFFFFF"/>
      <name val="Calibri"/>
      <charset val="1"/>
    </font>
    <font>
      <b/>
      <sz val="26"/>
      <color rgb="FFFFFFFF"/>
      <name val="Calibri"/>
      <charset val="1"/>
    </font>
    <font>
      <b/>
      <sz val="11"/>
      <color rgb="FFFFFFFF"/>
      <name val="Calibri"/>
      <charset val="1"/>
    </font>
    <font>
      <b/>
      <sz val="9"/>
      <color rgb="FFFFFFFF"/>
      <name val="Calibri"/>
      <charset val="1"/>
    </font>
    <font>
      <sz val="9"/>
      <color rgb="FF2C3E50"/>
      <name val="Calibri"/>
      <charset val="1"/>
    </font>
    <font>
      <b/>
      <sz val="9"/>
      <color rgb="FF1B4332"/>
      <name val="Calibri"/>
      <charset val="1"/>
    </font>
    <font>
      <b/>
      <sz val="9"/>
      <color rgb="FF2C3E50"/>
      <name val="Calibri"/>
      <charset val="1"/>
    </font>
    <font>
      <b/>
      <sz val="16"/>
      <color rgb="FFFFFFFF"/>
      <name val="Calibri"/>
      <charset val="1"/>
    </font>
    <font>
      <b/>
      <sz val="20"/>
      <color rgb="FFFFFFFF"/>
      <name val="Calibri"/>
      <charset val="1"/>
    </font>
    <font>
      <i/>
      <sz val="8"/>
      <color rgb="FF1B4332"/>
      <name val="Calibri"/>
      <charset val="1"/>
    </font>
    <font>
      <b/>
      <sz val="10"/>
      <color rgb="FF1B4332"/>
      <name val="Calibri"/>
      <charset val="1"/>
    </font>
    <font>
      <sz val="10"/>
      <color rgb="FF2C3E50"/>
      <name val="Calibri"/>
      <charset val="1"/>
    </font>
    <font>
      <u/>
      <sz val="11"/>
      <color theme="1"/>
      <name val="Calibri"/>
      <family val="2"/>
      <charset val="1"/>
    </font>
  </fonts>
  <fills count="12">
    <fill>
      <patternFill patternType="none"/>
    </fill>
    <fill>
      <patternFill patternType="gray125"/>
    </fill>
    <fill>
      <patternFill patternType="solid">
        <fgColor rgb="FF1B4332"/>
        <bgColor rgb="FF2C3E50"/>
      </patternFill>
    </fill>
    <fill>
      <patternFill patternType="solid">
        <fgColor rgb="FF2D6A4F"/>
        <bgColor rgb="FF1B4332"/>
      </patternFill>
    </fill>
    <fill>
      <patternFill patternType="solid">
        <fgColor rgb="FF40916C"/>
        <bgColor rgb="FF2D6A4F"/>
      </patternFill>
    </fill>
    <fill>
      <patternFill patternType="solid">
        <fgColor rgb="FFF39C12"/>
        <bgColor rgb="FFB7950B"/>
      </patternFill>
    </fill>
    <fill>
      <patternFill patternType="solid">
        <fgColor rgb="FFC0392B"/>
        <bgColor rgb="FF993366"/>
      </patternFill>
    </fill>
    <fill>
      <patternFill patternType="solid">
        <fgColor rgb="FFFFFFFF"/>
        <bgColor rgb="FFF2F3F4"/>
      </patternFill>
    </fill>
    <fill>
      <patternFill patternType="solid">
        <fgColor rgb="FFF2F3F4"/>
        <bgColor rgb="FFFFFFFF"/>
      </patternFill>
    </fill>
    <fill>
      <patternFill patternType="solid">
        <fgColor rgb="FFD8F3DC"/>
        <bgColor rgb="FFD6EAF8"/>
      </patternFill>
    </fill>
    <fill>
      <patternFill patternType="solid">
        <fgColor rgb="FFB7950B"/>
        <bgColor rgb="FFF39C12"/>
      </patternFill>
    </fill>
    <fill>
      <patternFill patternType="solid">
        <fgColor rgb="FF2C3E50"/>
        <bgColor rgb="FF1B4332"/>
      </patternFill>
    </fill>
  </fills>
  <borders count="2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5" fillId="3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7" fillId="8" borderId="1" xfId="0" applyFont="1" applyFill="1" applyBorder="1" applyAlignment="1">
      <alignment horizontal="center" vertical="center"/>
    </xf>
    <xf numFmtId="0" fontId="7" fillId="8" borderId="1" xfId="0" applyFont="1" applyFill="1" applyBorder="1" applyAlignment="1">
      <alignment horizontal="left" vertical="center"/>
    </xf>
    <xf numFmtId="0" fontId="7" fillId="7" borderId="1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left" vertical="center"/>
    </xf>
    <xf numFmtId="0" fontId="13" fillId="9" borderId="0" xfId="0" applyFont="1" applyFill="1" applyAlignment="1">
      <alignment horizontal="left" vertical="center"/>
    </xf>
    <xf numFmtId="0" fontId="14" fillId="7" borderId="0" xfId="0" applyFont="1" applyFill="1" applyAlignment="1">
      <alignment horizontal="left" vertical="top" wrapText="1"/>
    </xf>
    <xf numFmtId="0" fontId="5" fillId="11" borderId="0" xfId="0" applyFont="1" applyFill="1" applyAlignment="1">
      <alignment horizontal="left" vertical="center"/>
    </xf>
    <xf numFmtId="0" fontId="15" fillId="0" borderId="0" xfId="0" applyFont="1"/>
    <xf numFmtId="0" fontId="10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11" fillId="10" borderId="0" xfId="0" applyFont="1" applyFill="1" applyAlignment="1">
      <alignment horizontal="center" vertical="center"/>
    </xf>
    <xf numFmtId="0" fontId="12" fillId="9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5" fillId="3" borderId="0" xfId="0" applyFont="1" applyFill="1" applyAlignment="1">
      <alignment horizontal="left" vertical="center"/>
    </xf>
    <xf numFmtId="0" fontId="6" fillId="4" borderId="0" xfId="0" applyFont="1" applyFill="1" applyAlignment="1">
      <alignment horizontal="center" vertical="center"/>
    </xf>
    <xf numFmtId="0" fontId="7" fillId="7" borderId="0" xfId="0" applyFont="1" applyFill="1" applyAlignment="1">
      <alignment horizontal="left" vertical="center"/>
    </xf>
    <xf numFmtId="0" fontId="8" fillId="7" borderId="0" xfId="0" applyFont="1" applyFill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left" vertical="center"/>
    </xf>
    <xf numFmtId="0" fontId="8" fillId="8" borderId="0" xfId="0" applyFont="1" applyFill="1" applyAlignment="1">
      <alignment horizontal="center" vertical="center"/>
    </xf>
    <xf numFmtId="0" fontId="9" fillId="8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</cellXfs>
  <cellStyles count="1">
    <cellStyle name="Normal" xfId="0" builtinId="0"/>
  </cellStyles>
  <dxfs count="6">
    <dxf>
      <font>
        <b/>
        <sz val="9"/>
        <color rgb="FF1B4332"/>
        <name val="Calibri"/>
        <charset val="1"/>
      </font>
      <fill>
        <patternFill>
          <bgColor rgb="FFD8F3DC"/>
        </patternFill>
      </fill>
    </dxf>
    <dxf>
      <font>
        <b/>
        <sz val="9"/>
        <color rgb="FF7D6608"/>
        <name val="Calibri"/>
        <charset val="1"/>
      </font>
      <fill>
        <patternFill>
          <bgColor rgb="FFFDEBD0"/>
        </patternFill>
      </fill>
    </dxf>
    <dxf>
      <font>
        <b/>
        <sz val="9"/>
        <color rgb="FFC0392B"/>
        <name val="Calibri"/>
        <charset val="1"/>
      </font>
      <fill>
        <patternFill>
          <bgColor rgb="FFFADBD8"/>
        </patternFill>
      </fill>
    </dxf>
    <dxf>
      <font>
        <b/>
        <sz val="9"/>
        <color rgb="FF2C3E50"/>
        <name val="Calibri"/>
        <charset val="1"/>
      </font>
      <fill>
        <patternFill>
          <bgColor rgb="FFD6EAF8"/>
        </patternFill>
      </fill>
    </dxf>
    <dxf>
      <font>
        <b/>
        <sz val="9"/>
        <color rgb="FFC0392B"/>
        <name val="Calibri"/>
        <charset val="1"/>
      </font>
      <fill>
        <patternFill>
          <bgColor rgb="FFFADBD8"/>
        </patternFill>
      </fill>
    </dxf>
    <dxf>
      <font>
        <b/>
        <sz val="9"/>
        <color rgb="FF1B4332"/>
        <name val="Calibri"/>
        <charset val="1"/>
      </font>
      <fill>
        <patternFill>
          <bgColor rgb="FFD8F3DC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7D6608"/>
      <rgbColor rgb="FF800080"/>
      <rgbColor rgb="FF2D6A4F"/>
      <rgbColor rgb="FFCCCCCC"/>
      <rgbColor rgb="FF808080"/>
      <rgbColor rgb="FF9999FF"/>
      <rgbColor rgb="FF993366"/>
      <rgbColor rgb="FFFDEBD0"/>
      <rgbColor rgb="FFD6EAF8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3F4"/>
      <rgbColor rgb="FFD8F3DC"/>
      <rgbColor rgb="FFFFFF99"/>
      <rgbColor rgb="FF74C69D"/>
      <rgbColor rgb="FFFF99CC"/>
      <rgbColor rgb="FFCC99FF"/>
      <rgbColor rgb="FFFADBD8"/>
      <rgbColor rgb="FF3366FF"/>
      <rgbColor rgb="FF33CCCC"/>
      <rgbColor rgb="FFB7950B"/>
      <rgbColor rgb="FFFFCC00"/>
      <rgbColor rgb="FFF39C12"/>
      <rgbColor rgb="FFFF6600"/>
      <rgbColor rgb="FF666699"/>
      <rgbColor rgb="FF969696"/>
      <rgbColor rgb="FF003366"/>
      <rgbColor rgb="FF40916C"/>
      <rgbColor rgb="FF003300"/>
      <rgbColor rgb="FF1B4332"/>
      <rgbColor rgb="FFC0392B"/>
      <rgbColor rgb="FF993366"/>
      <rgbColor rgb="FF333399"/>
      <rgbColor rgb="FF2C3E5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430200</xdr:colOff>
      <xdr:row>2</xdr:row>
      <xdr:rowOff>352080</xdr:rowOff>
    </xdr:to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0" y="0"/>
          <a:ext cx="571320" cy="571320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10</xdr:col>
      <xdr:colOff>323850</xdr:colOff>
      <xdr:row>14</xdr:row>
      <xdr:rowOff>66676</xdr:rowOff>
    </xdr:from>
    <xdr:to>
      <xdr:col>13</xdr:col>
      <xdr:colOff>47626</xdr:colOff>
      <xdr:row>16</xdr:row>
      <xdr:rowOff>28576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A9F0CA8B-90D4-8CE9-FF9E-9B916BD50498}"/>
            </a:ext>
          </a:extLst>
        </xdr:cNvPr>
        <xdr:cNvSpPr/>
      </xdr:nvSpPr>
      <xdr:spPr>
        <a:xfrm>
          <a:off x="8058150" y="3133726"/>
          <a:ext cx="1466851" cy="419100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400" b="1"/>
            <a:t>Nuevo Ingreso</a:t>
          </a:r>
        </a:p>
      </xdr:txBody>
    </xdr:sp>
    <xdr:clientData/>
  </xdr:twoCellAnchor>
  <xdr:twoCellAnchor>
    <xdr:from>
      <xdr:col>10</xdr:col>
      <xdr:colOff>323849</xdr:colOff>
      <xdr:row>16</xdr:row>
      <xdr:rowOff>133351</xdr:rowOff>
    </xdr:from>
    <xdr:to>
      <xdr:col>13</xdr:col>
      <xdr:colOff>76199</xdr:colOff>
      <xdr:row>18</xdr:row>
      <xdr:rowOff>76201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4FF392DB-9A49-4754-A569-73EBD778C3AD}"/>
            </a:ext>
          </a:extLst>
        </xdr:cNvPr>
        <xdr:cNvSpPr/>
      </xdr:nvSpPr>
      <xdr:spPr>
        <a:xfrm>
          <a:off x="8058149" y="3657601"/>
          <a:ext cx="1495425" cy="40005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400" b="1"/>
            <a:t>Registro</a:t>
          </a:r>
          <a:r>
            <a:rPr lang="es-CL" sz="1400" b="1" baseline="0"/>
            <a:t> Salida</a:t>
          </a:r>
          <a:endParaRPr lang="es-CL" sz="1400" b="1"/>
        </a:p>
      </xdr:txBody>
    </xdr:sp>
    <xdr:clientData/>
  </xdr:twoCellAnchor>
  <xdr:twoCellAnchor>
    <xdr:from>
      <xdr:col>10</xdr:col>
      <xdr:colOff>333375</xdr:colOff>
      <xdr:row>18</xdr:row>
      <xdr:rowOff>171450</xdr:rowOff>
    </xdr:from>
    <xdr:to>
      <xdr:col>13</xdr:col>
      <xdr:colOff>66674</xdr:colOff>
      <xdr:row>20</xdr:row>
      <xdr:rowOff>161925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18487A93-B51F-4A02-B8BB-DD5CFECEEC25}"/>
            </a:ext>
          </a:extLst>
        </xdr:cNvPr>
        <xdr:cNvSpPr/>
      </xdr:nvSpPr>
      <xdr:spPr>
        <a:xfrm>
          <a:off x="8067675" y="4152900"/>
          <a:ext cx="1476374" cy="409575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400" b="1"/>
            <a:t>Consultar</a:t>
          </a:r>
          <a:r>
            <a:rPr lang="es-CL" sz="1400" b="1" baseline="0"/>
            <a:t> Stock</a:t>
          </a:r>
          <a:endParaRPr lang="es-CL" sz="1400" b="1"/>
        </a:p>
      </xdr:txBody>
    </xdr:sp>
    <xdr:clientData/>
  </xdr:twoCellAnchor>
  <xdr:twoCellAnchor>
    <xdr:from>
      <xdr:col>10</xdr:col>
      <xdr:colOff>342900</xdr:colOff>
      <xdr:row>21</xdr:row>
      <xdr:rowOff>104775</xdr:rowOff>
    </xdr:from>
    <xdr:to>
      <xdr:col>13</xdr:col>
      <xdr:colOff>85725</xdr:colOff>
      <xdr:row>23</xdr:row>
      <xdr:rowOff>114300</xdr:rowOff>
    </xdr:to>
    <xdr:sp macro="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00D6E0B2-D027-4C82-BAC2-A1DF2D51CE0C}"/>
            </a:ext>
          </a:extLst>
        </xdr:cNvPr>
        <xdr:cNvSpPr/>
      </xdr:nvSpPr>
      <xdr:spPr>
        <a:xfrm>
          <a:off x="8077200" y="4695825"/>
          <a:ext cx="1485900" cy="390525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400" b="1"/>
            <a:t>Ver</a:t>
          </a:r>
          <a:r>
            <a:rPr lang="es-CL" sz="1400" b="1" baseline="0"/>
            <a:t> Alerta </a:t>
          </a:r>
          <a:endParaRPr lang="es-CL" sz="1400" b="1"/>
        </a:p>
      </xdr:txBody>
    </xdr:sp>
    <xdr:clientData/>
  </xdr:twoCellAnchor>
  <xdr:twoCellAnchor>
    <xdr:from>
      <xdr:col>10</xdr:col>
      <xdr:colOff>342900</xdr:colOff>
      <xdr:row>24</xdr:row>
      <xdr:rowOff>38101</xdr:rowOff>
    </xdr:from>
    <xdr:to>
      <xdr:col>13</xdr:col>
      <xdr:colOff>76199</xdr:colOff>
      <xdr:row>26</xdr:row>
      <xdr:rowOff>57150</xdr:rowOff>
    </xdr:to>
    <xdr:sp macro="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7C045E6F-C785-4E35-9412-C0E81D7A00BE}"/>
            </a:ext>
          </a:extLst>
        </xdr:cNvPr>
        <xdr:cNvSpPr/>
      </xdr:nvSpPr>
      <xdr:spPr>
        <a:xfrm>
          <a:off x="8077200" y="5200651"/>
          <a:ext cx="1476374" cy="400049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400" b="1"/>
            <a:t>Actualizar</a:t>
          </a:r>
          <a:r>
            <a:rPr lang="es-CL" sz="1400" b="1" baseline="0"/>
            <a:t> todo</a:t>
          </a:r>
          <a:endParaRPr lang="es-CL" sz="1400" b="1"/>
        </a:p>
      </xdr:txBody>
    </xdr:sp>
    <xdr:clientData/>
  </xdr:twoCellAnchor>
  <xdr:twoCellAnchor>
    <xdr:from>
      <xdr:col>10</xdr:col>
      <xdr:colOff>338137</xdr:colOff>
      <xdr:row>27</xdr:row>
      <xdr:rowOff>0</xdr:rowOff>
    </xdr:from>
    <xdr:to>
      <xdr:col>13</xdr:col>
      <xdr:colOff>80962</xdr:colOff>
      <xdr:row>29</xdr:row>
      <xdr:rowOff>9525</xdr:rowOff>
    </xdr:to>
    <xdr:sp macro="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473E1C85-5DE7-4A99-AB61-1A09604722EC}"/>
            </a:ext>
          </a:extLst>
        </xdr:cNvPr>
        <xdr:cNvSpPr/>
      </xdr:nvSpPr>
      <xdr:spPr>
        <a:xfrm>
          <a:off x="8072437" y="5734050"/>
          <a:ext cx="1485900" cy="390525"/>
        </a:xfrm>
        <a:prstGeom prst="round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400" b="1"/>
            <a:t>IR</a:t>
          </a:r>
          <a:r>
            <a:rPr lang="es-CL" sz="1400" b="1" baseline="0"/>
            <a:t> a Dashboard</a:t>
          </a:r>
        </a:p>
        <a:p>
          <a:pPr algn="ctr"/>
          <a:endParaRPr lang="es-CL" sz="1400" b="1"/>
        </a:p>
      </xdr:txBody>
    </xdr:sp>
    <xdr:clientData/>
  </xdr:twoCellAnchor>
  <xdr:twoCellAnchor>
    <xdr:from>
      <xdr:col>10</xdr:col>
      <xdr:colOff>304800</xdr:colOff>
      <xdr:row>14</xdr:row>
      <xdr:rowOff>28576</xdr:rowOff>
    </xdr:from>
    <xdr:to>
      <xdr:col>13</xdr:col>
      <xdr:colOff>28576</xdr:colOff>
      <xdr:row>15</xdr:row>
      <xdr:rowOff>219076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E1E481F8-2007-2242-8696-970512D6F650}"/>
            </a:ext>
          </a:extLst>
        </xdr:cNvPr>
        <xdr:cNvSpPr/>
      </xdr:nvSpPr>
      <xdr:spPr>
        <a:xfrm>
          <a:off x="8039100" y="3095626"/>
          <a:ext cx="1466851" cy="419100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400" b="1"/>
            <a:t>Nuevo Ingreso</a:t>
          </a:r>
        </a:p>
      </xdr:txBody>
    </xdr:sp>
    <xdr:clientData/>
  </xdr:twoCellAnchor>
  <xdr:twoCellAnchor>
    <xdr:from>
      <xdr:col>10</xdr:col>
      <xdr:colOff>333375</xdr:colOff>
      <xdr:row>16</xdr:row>
      <xdr:rowOff>133351</xdr:rowOff>
    </xdr:from>
    <xdr:to>
      <xdr:col>13</xdr:col>
      <xdr:colOff>85725</xdr:colOff>
      <xdr:row>18</xdr:row>
      <xdr:rowOff>76201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9C91B682-3A17-D771-EE02-1FA0598FB071}"/>
            </a:ext>
          </a:extLst>
        </xdr:cNvPr>
        <xdr:cNvSpPr/>
      </xdr:nvSpPr>
      <xdr:spPr>
        <a:xfrm>
          <a:off x="8067675" y="3657601"/>
          <a:ext cx="1495425" cy="40005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400" b="1"/>
            <a:t>Registro</a:t>
          </a:r>
          <a:r>
            <a:rPr lang="es-CL" sz="1400" b="1" baseline="0"/>
            <a:t> Salida</a:t>
          </a:r>
          <a:endParaRPr lang="es-CL" sz="1400" b="1"/>
        </a:p>
      </xdr:txBody>
    </xdr:sp>
    <xdr:clientData/>
  </xdr:twoCellAnchor>
  <xdr:twoCellAnchor>
    <xdr:from>
      <xdr:col>10</xdr:col>
      <xdr:colOff>342900</xdr:colOff>
      <xdr:row>18</xdr:row>
      <xdr:rowOff>171450</xdr:rowOff>
    </xdr:from>
    <xdr:to>
      <xdr:col>13</xdr:col>
      <xdr:colOff>76199</xdr:colOff>
      <xdr:row>20</xdr:row>
      <xdr:rowOff>161925</xdr:rowOff>
    </xdr:to>
    <xdr:sp macro="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6193AF52-0B04-99B2-6858-2AF59C47B522}"/>
            </a:ext>
          </a:extLst>
        </xdr:cNvPr>
        <xdr:cNvSpPr/>
      </xdr:nvSpPr>
      <xdr:spPr>
        <a:xfrm>
          <a:off x="8077200" y="4152900"/>
          <a:ext cx="1476374" cy="409575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400" b="1"/>
            <a:t>Consultar</a:t>
          </a:r>
          <a:r>
            <a:rPr lang="es-CL" sz="1400" b="1" baseline="0"/>
            <a:t> Stock</a:t>
          </a:r>
          <a:endParaRPr lang="es-CL" sz="1400" b="1"/>
        </a:p>
      </xdr:txBody>
    </xdr:sp>
    <xdr:clientData/>
  </xdr:twoCellAnchor>
  <xdr:twoCellAnchor>
    <xdr:from>
      <xdr:col>10</xdr:col>
      <xdr:colOff>338137</xdr:colOff>
      <xdr:row>21</xdr:row>
      <xdr:rowOff>104775</xdr:rowOff>
    </xdr:from>
    <xdr:to>
      <xdr:col>13</xdr:col>
      <xdr:colOff>80962</xdr:colOff>
      <xdr:row>23</xdr:row>
      <xdr:rowOff>114300</xdr:rowOff>
    </xdr:to>
    <xdr:sp macro="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A06C199F-C046-4C92-78DB-8976AF854905}"/>
            </a:ext>
          </a:extLst>
        </xdr:cNvPr>
        <xdr:cNvSpPr/>
      </xdr:nvSpPr>
      <xdr:spPr>
        <a:xfrm>
          <a:off x="8072437" y="4695825"/>
          <a:ext cx="1485900" cy="390525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400" b="1"/>
            <a:t>Ver</a:t>
          </a:r>
          <a:r>
            <a:rPr lang="es-CL" sz="1400" b="1" baseline="0"/>
            <a:t> Alerta </a:t>
          </a:r>
          <a:endParaRPr lang="es-CL" sz="1400" b="1"/>
        </a:p>
      </xdr:txBody>
    </xdr:sp>
    <xdr:clientData/>
  </xdr:twoCellAnchor>
  <xdr:twoCellAnchor>
    <xdr:from>
      <xdr:col>10</xdr:col>
      <xdr:colOff>347662</xdr:colOff>
      <xdr:row>14</xdr:row>
      <xdr:rowOff>28576</xdr:rowOff>
    </xdr:from>
    <xdr:to>
      <xdr:col>13</xdr:col>
      <xdr:colOff>71438</xdr:colOff>
      <xdr:row>15</xdr:row>
      <xdr:rowOff>219076</xdr:rowOff>
    </xdr:to>
    <xdr:sp macro="" textlink="">
      <xdr:nvSpPr>
        <xdr:cNvPr id="14" name="Rectángulo: esquinas redondeadas 13">
          <a:extLst>
            <a:ext uri="{FF2B5EF4-FFF2-40B4-BE49-F238E27FC236}">
              <a16:creationId xmlns:a16="http://schemas.microsoft.com/office/drawing/2014/main" id="{092561E4-E3E6-361F-145F-E6E558EE854E}"/>
            </a:ext>
          </a:extLst>
        </xdr:cNvPr>
        <xdr:cNvSpPr/>
      </xdr:nvSpPr>
      <xdr:spPr>
        <a:xfrm>
          <a:off x="8081962" y="3095626"/>
          <a:ext cx="1466851" cy="419100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400" b="1"/>
            <a:t>Nuevo Ingreso</a:t>
          </a:r>
        </a:p>
      </xdr:txBody>
    </xdr:sp>
    <xdr:clientData/>
  </xdr:twoCellAnchor>
  <xdr:oneCellAnchor>
    <xdr:from>
      <xdr:col>15</xdr:col>
      <xdr:colOff>0</xdr:colOff>
      <xdr:row>24</xdr:row>
      <xdr:rowOff>0</xdr:rowOff>
    </xdr:from>
    <xdr:ext cx="184731" cy="264560"/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4F684A00-D641-AEC0-3F0C-65A20F087C81}"/>
            </a:ext>
          </a:extLst>
        </xdr:cNvPr>
        <xdr:cNvSpPr txBox="1"/>
      </xdr:nvSpPr>
      <xdr:spPr>
        <a:xfrm>
          <a:off x="10639425" y="51625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CL" sz="1100" u="sng"/>
        </a:p>
      </xdr:txBody>
    </xdr:sp>
    <xdr:clientData/>
  </xdr:oneCellAnchor>
  <xdr:twoCellAnchor>
    <xdr:from>
      <xdr:col>10</xdr:col>
      <xdr:colOff>342900</xdr:colOff>
      <xdr:row>16</xdr:row>
      <xdr:rowOff>142875</xdr:rowOff>
    </xdr:from>
    <xdr:to>
      <xdr:col>13</xdr:col>
      <xdr:colOff>95250</xdr:colOff>
      <xdr:row>18</xdr:row>
      <xdr:rowOff>85725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3AE890D4-214E-3576-93C1-0A168F1EA6AE}"/>
            </a:ext>
          </a:extLst>
        </xdr:cNvPr>
        <xdr:cNvSpPr/>
      </xdr:nvSpPr>
      <xdr:spPr>
        <a:xfrm>
          <a:off x="8077200" y="3667125"/>
          <a:ext cx="1495425" cy="40005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400" b="1"/>
            <a:t>Registro</a:t>
          </a:r>
          <a:r>
            <a:rPr lang="es-CL" sz="1400" b="1" baseline="0"/>
            <a:t> Salida</a:t>
          </a:r>
          <a:endParaRPr lang="es-CL" sz="1400" b="1"/>
        </a:p>
      </xdr:txBody>
    </xdr:sp>
    <xdr:clientData/>
  </xdr:twoCellAnchor>
  <xdr:twoCellAnchor>
    <xdr:from>
      <xdr:col>10</xdr:col>
      <xdr:colOff>357187</xdr:colOff>
      <xdr:row>14</xdr:row>
      <xdr:rowOff>38100</xdr:rowOff>
    </xdr:from>
    <xdr:to>
      <xdr:col>13</xdr:col>
      <xdr:colOff>80963</xdr:colOff>
      <xdr:row>16</xdr:row>
      <xdr:rowOff>0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99D98787-0B97-B4A8-4F36-04DD9FA43218}"/>
            </a:ext>
          </a:extLst>
        </xdr:cNvPr>
        <xdr:cNvSpPr/>
      </xdr:nvSpPr>
      <xdr:spPr>
        <a:xfrm>
          <a:off x="8091487" y="3105150"/>
          <a:ext cx="1466851" cy="419100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400" b="1"/>
            <a:t>Nuevo Ingreso</a:t>
          </a:r>
        </a:p>
      </xdr:txBody>
    </xdr:sp>
    <xdr:clientData/>
  </xdr:twoCellAnchor>
  <xdr:twoCellAnchor>
    <xdr:from>
      <xdr:col>10</xdr:col>
      <xdr:colOff>381000</xdr:colOff>
      <xdr:row>24</xdr:row>
      <xdr:rowOff>57151</xdr:rowOff>
    </xdr:from>
    <xdr:to>
      <xdr:col>13</xdr:col>
      <xdr:colOff>114299</xdr:colOff>
      <xdr:row>26</xdr:row>
      <xdr:rowOff>76200</xdr:rowOff>
    </xdr:to>
    <xdr:sp macro="[0]!ActualizarTodo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90FC160B-1C89-1A92-62C7-796F128AA176}"/>
            </a:ext>
          </a:extLst>
        </xdr:cNvPr>
        <xdr:cNvSpPr/>
      </xdr:nvSpPr>
      <xdr:spPr>
        <a:xfrm>
          <a:off x="8115300" y="5219701"/>
          <a:ext cx="1476374" cy="400049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400" b="1"/>
            <a:t>Actualizar</a:t>
          </a:r>
          <a:r>
            <a:rPr lang="es-CL" sz="1400" b="1" baseline="0"/>
            <a:t> todo</a:t>
          </a:r>
          <a:endParaRPr lang="es-CL" sz="1400" b="1"/>
        </a:p>
      </xdr:txBody>
    </xdr:sp>
    <xdr:clientData/>
  </xdr:twoCellAnchor>
  <xdr:twoCellAnchor>
    <xdr:from>
      <xdr:col>10</xdr:col>
      <xdr:colOff>376237</xdr:colOff>
      <xdr:row>27</xdr:row>
      <xdr:rowOff>19050</xdr:rowOff>
    </xdr:from>
    <xdr:to>
      <xdr:col>13</xdr:col>
      <xdr:colOff>119062</xdr:colOff>
      <xdr:row>29</xdr:row>
      <xdr:rowOff>28575</xdr:rowOff>
    </xdr:to>
    <xdr:sp macro="[0]!IrDashboard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556CFF83-F3FA-2999-40ED-82680B98B714}"/>
            </a:ext>
          </a:extLst>
        </xdr:cNvPr>
        <xdr:cNvSpPr/>
      </xdr:nvSpPr>
      <xdr:spPr>
        <a:xfrm>
          <a:off x="8110537" y="5753100"/>
          <a:ext cx="1485900" cy="390525"/>
        </a:xfrm>
        <a:prstGeom prst="round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400" b="1"/>
            <a:t>IR</a:t>
          </a:r>
          <a:r>
            <a:rPr lang="es-CL" sz="1400" b="1" baseline="0"/>
            <a:t> a Dashboard</a:t>
          </a:r>
        </a:p>
        <a:p>
          <a:pPr algn="ctr"/>
          <a:endParaRPr lang="es-CL" sz="1400" b="1"/>
        </a:p>
      </xdr:txBody>
    </xdr:sp>
    <xdr:clientData/>
  </xdr:twoCellAnchor>
  <xdr:twoCellAnchor>
    <xdr:from>
      <xdr:col>10</xdr:col>
      <xdr:colOff>381000</xdr:colOff>
      <xdr:row>18</xdr:row>
      <xdr:rowOff>190500</xdr:rowOff>
    </xdr:from>
    <xdr:to>
      <xdr:col>13</xdr:col>
      <xdr:colOff>114299</xdr:colOff>
      <xdr:row>20</xdr:row>
      <xdr:rowOff>180975</xdr:rowOff>
    </xdr:to>
    <xdr:sp macro="[0]!ConsultarStock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47E4AB5D-4B1B-8360-0BBB-8BE6DE6078C3}"/>
            </a:ext>
          </a:extLst>
        </xdr:cNvPr>
        <xdr:cNvSpPr/>
      </xdr:nvSpPr>
      <xdr:spPr>
        <a:xfrm>
          <a:off x="8115300" y="4171950"/>
          <a:ext cx="1476374" cy="409575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400" b="1"/>
            <a:t>Consultar</a:t>
          </a:r>
          <a:r>
            <a:rPr lang="es-CL" sz="1400" b="1" baseline="0"/>
            <a:t> Stock</a:t>
          </a:r>
          <a:endParaRPr lang="es-CL" sz="1400" b="1"/>
        </a:p>
      </xdr:txBody>
    </xdr:sp>
    <xdr:clientData/>
  </xdr:twoCellAnchor>
  <xdr:twoCellAnchor>
    <xdr:from>
      <xdr:col>10</xdr:col>
      <xdr:colOff>376237</xdr:colOff>
      <xdr:row>21</xdr:row>
      <xdr:rowOff>123825</xdr:rowOff>
    </xdr:from>
    <xdr:to>
      <xdr:col>13</xdr:col>
      <xdr:colOff>119062</xdr:colOff>
      <xdr:row>23</xdr:row>
      <xdr:rowOff>133350</xdr:rowOff>
    </xdr:to>
    <xdr:sp macro="[0]!VerAlertas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63871DEE-3B02-17D4-C180-D0457DDC3DF7}"/>
            </a:ext>
          </a:extLst>
        </xdr:cNvPr>
        <xdr:cNvSpPr/>
      </xdr:nvSpPr>
      <xdr:spPr>
        <a:xfrm>
          <a:off x="8110537" y="4714875"/>
          <a:ext cx="1485900" cy="390525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400" b="1"/>
            <a:t>Ver</a:t>
          </a:r>
          <a:r>
            <a:rPr lang="es-CL" sz="1400" b="1" baseline="0"/>
            <a:t> Alerta </a:t>
          </a:r>
          <a:endParaRPr lang="es-CL" sz="1400" b="1"/>
        </a:p>
      </xdr:txBody>
    </xdr:sp>
    <xdr:clientData/>
  </xdr:twoCellAnchor>
  <xdr:twoCellAnchor>
    <xdr:from>
      <xdr:col>10</xdr:col>
      <xdr:colOff>381000</xdr:colOff>
      <xdr:row>16</xdr:row>
      <xdr:rowOff>161925</xdr:rowOff>
    </xdr:from>
    <xdr:to>
      <xdr:col>13</xdr:col>
      <xdr:colOff>133350</xdr:colOff>
      <xdr:row>18</xdr:row>
      <xdr:rowOff>104775</xdr:rowOff>
    </xdr:to>
    <xdr:sp macro="[0]!RegistrarSalida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BDCDE385-C1F9-C409-D34B-93C4C3C6BF45}"/>
            </a:ext>
          </a:extLst>
        </xdr:cNvPr>
        <xdr:cNvSpPr/>
      </xdr:nvSpPr>
      <xdr:spPr>
        <a:xfrm>
          <a:off x="8115300" y="3686175"/>
          <a:ext cx="1495425" cy="40005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400" b="1"/>
            <a:t>Registro</a:t>
          </a:r>
          <a:r>
            <a:rPr lang="es-CL" sz="1400" b="1" baseline="0"/>
            <a:t> Salida</a:t>
          </a:r>
          <a:endParaRPr lang="es-CL" sz="1400" b="1"/>
        </a:p>
      </xdr:txBody>
    </xdr:sp>
    <xdr:clientData/>
  </xdr:twoCellAnchor>
  <xdr:twoCellAnchor>
    <xdr:from>
      <xdr:col>10</xdr:col>
      <xdr:colOff>395287</xdr:colOff>
      <xdr:row>14</xdr:row>
      <xdr:rowOff>57150</xdr:rowOff>
    </xdr:from>
    <xdr:to>
      <xdr:col>13</xdr:col>
      <xdr:colOff>119063</xdr:colOff>
      <xdr:row>16</xdr:row>
      <xdr:rowOff>19050</xdr:rowOff>
    </xdr:to>
    <xdr:sp macro="[0]!NuevoIngreso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979471D8-D77C-25F9-3A2D-C19AE2ED9EEF}"/>
            </a:ext>
          </a:extLst>
        </xdr:cNvPr>
        <xdr:cNvSpPr/>
      </xdr:nvSpPr>
      <xdr:spPr>
        <a:xfrm>
          <a:off x="8129587" y="3124200"/>
          <a:ext cx="1466851" cy="419100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400" b="1"/>
            <a:t>Nuevo Ingreso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430200</xdr:colOff>
      <xdr:row>2</xdr:row>
      <xdr:rowOff>380880</xdr:rowOff>
    </xdr:to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0" y="0"/>
          <a:ext cx="571320" cy="571320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11</xdr:col>
      <xdr:colOff>4763</xdr:colOff>
      <xdr:row>21</xdr:row>
      <xdr:rowOff>1</xdr:rowOff>
    </xdr:from>
    <xdr:to>
      <xdr:col>13</xdr:col>
      <xdr:colOff>319087</xdr:colOff>
      <xdr:row>22</xdr:row>
      <xdr:rowOff>190500</xdr:rowOff>
    </xdr:to>
    <xdr:sp macro="[0]!ActualizarTod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B55DEA18-7695-468D-BD5D-8F66F5D15870}"/>
            </a:ext>
          </a:extLst>
        </xdr:cNvPr>
        <xdr:cNvSpPr/>
      </xdr:nvSpPr>
      <xdr:spPr>
        <a:xfrm>
          <a:off x="9253538" y="4524376"/>
          <a:ext cx="1476374" cy="400049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400" b="1"/>
            <a:t>Actualizar</a:t>
          </a:r>
          <a:r>
            <a:rPr lang="es-CL" sz="1400" b="1" baseline="0"/>
            <a:t> todo</a:t>
          </a:r>
          <a:endParaRPr lang="es-CL" sz="1400" b="1"/>
        </a:p>
      </xdr:txBody>
    </xdr:sp>
    <xdr:clientData/>
  </xdr:twoCellAnchor>
  <xdr:twoCellAnchor>
    <xdr:from>
      <xdr:col>11</xdr:col>
      <xdr:colOff>0</xdr:colOff>
      <xdr:row>23</xdr:row>
      <xdr:rowOff>114300</xdr:rowOff>
    </xdr:from>
    <xdr:to>
      <xdr:col>13</xdr:col>
      <xdr:colOff>323850</xdr:colOff>
      <xdr:row>25</xdr:row>
      <xdr:rowOff>85725</xdr:rowOff>
    </xdr:to>
    <xdr:sp macro="[0]!IrDashboard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F333751E-F827-42FF-826C-DD6EFA6BC63F}"/>
            </a:ext>
          </a:extLst>
        </xdr:cNvPr>
        <xdr:cNvSpPr/>
      </xdr:nvSpPr>
      <xdr:spPr>
        <a:xfrm>
          <a:off x="9248775" y="5057775"/>
          <a:ext cx="1485900" cy="390525"/>
        </a:xfrm>
        <a:prstGeom prst="round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400" b="1"/>
            <a:t>IR</a:t>
          </a:r>
          <a:r>
            <a:rPr lang="es-CL" sz="1400" b="1" baseline="0"/>
            <a:t> a Dashboard</a:t>
          </a:r>
        </a:p>
        <a:p>
          <a:pPr algn="ctr"/>
          <a:endParaRPr lang="es-CL" sz="1400" b="1"/>
        </a:p>
      </xdr:txBody>
    </xdr:sp>
    <xdr:clientData/>
  </xdr:twoCellAnchor>
  <xdr:twoCellAnchor>
    <xdr:from>
      <xdr:col>11</xdr:col>
      <xdr:colOff>4763</xdr:colOff>
      <xdr:row>16</xdr:row>
      <xdr:rowOff>0</xdr:rowOff>
    </xdr:from>
    <xdr:to>
      <xdr:col>13</xdr:col>
      <xdr:colOff>319087</xdr:colOff>
      <xdr:row>17</xdr:row>
      <xdr:rowOff>200025</xdr:rowOff>
    </xdr:to>
    <xdr:sp macro="[0]!ConsultarStock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BF966AD4-CBC2-425B-9384-EBA8CB92E831}"/>
            </a:ext>
          </a:extLst>
        </xdr:cNvPr>
        <xdr:cNvSpPr/>
      </xdr:nvSpPr>
      <xdr:spPr>
        <a:xfrm>
          <a:off x="9253538" y="3476625"/>
          <a:ext cx="1476374" cy="409575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400" b="1"/>
            <a:t>Consultar</a:t>
          </a:r>
          <a:r>
            <a:rPr lang="es-CL" sz="1400" b="1" baseline="0"/>
            <a:t> Stock</a:t>
          </a:r>
          <a:endParaRPr lang="es-CL" sz="1400" b="1"/>
        </a:p>
      </xdr:txBody>
    </xdr:sp>
    <xdr:clientData/>
  </xdr:twoCellAnchor>
  <xdr:twoCellAnchor>
    <xdr:from>
      <xdr:col>11</xdr:col>
      <xdr:colOff>0</xdr:colOff>
      <xdr:row>18</xdr:row>
      <xdr:rowOff>123825</xdr:rowOff>
    </xdr:from>
    <xdr:to>
      <xdr:col>13</xdr:col>
      <xdr:colOff>323850</xdr:colOff>
      <xdr:row>20</xdr:row>
      <xdr:rowOff>95250</xdr:rowOff>
    </xdr:to>
    <xdr:sp macro="[0]!VerAlertas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3C3F3AB1-D644-44AC-8028-768274FE9820}"/>
            </a:ext>
          </a:extLst>
        </xdr:cNvPr>
        <xdr:cNvSpPr/>
      </xdr:nvSpPr>
      <xdr:spPr>
        <a:xfrm>
          <a:off x="9248775" y="4019550"/>
          <a:ext cx="1485900" cy="390525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400" b="1"/>
            <a:t>Ver</a:t>
          </a:r>
          <a:r>
            <a:rPr lang="es-CL" sz="1400" b="1" baseline="0"/>
            <a:t> Alerta </a:t>
          </a:r>
          <a:endParaRPr lang="es-CL" sz="1400" b="1"/>
        </a:p>
      </xdr:txBody>
    </xdr:sp>
    <xdr:clientData/>
  </xdr:twoCellAnchor>
  <xdr:twoCellAnchor>
    <xdr:from>
      <xdr:col>11</xdr:col>
      <xdr:colOff>4763</xdr:colOff>
      <xdr:row>13</xdr:row>
      <xdr:rowOff>142875</xdr:rowOff>
    </xdr:from>
    <xdr:to>
      <xdr:col>13</xdr:col>
      <xdr:colOff>338138</xdr:colOff>
      <xdr:row>15</xdr:row>
      <xdr:rowOff>123825</xdr:rowOff>
    </xdr:to>
    <xdr:sp macro="[0]!RegistrarSalida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4DF7FA39-2707-4749-911B-33BD60BD4FC5}"/>
            </a:ext>
          </a:extLst>
        </xdr:cNvPr>
        <xdr:cNvSpPr/>
      </xdr:nvSpPr>
      <xdr:spPr>
        <a:xfrm>
          <a:off x="9253538" y="2990850"/>
          <a:ext cx="1495425" cy="40005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400" b="1"/>
            <a:t>Registro</a:t>
          </a:r>
          <a:r>
            <a:rPr lang="es-CL" sz="1400" b="1" baseline="0"/>
            <a:t> Salida</a:t>
          </a:r>
          <a:endParaRPr lang="es-CL" sz="1400" b="1"/>
        </a:p>
      </xdr:txBody>
    </xdr:sp>
    <xdr:clientData/>
  </xdr:twoCellAnchor>
  <xdr:twoCellAnchor>
    <xdr:from>
      <xdr:col>11</xdr:col>
      <xdr:colOff>19050</xdr:colOff>
      <xdr:row>11</xdr:row>
      <xdr:rowOff>0</xdr:rowOff>
    </xdr:from>
    <xdr:to>
      <xdr:col>13</xdr:col>
      <xdr:colOff>323851</xdr:colOff>
      <xdr:row>13</xdr:row>
      <xdr:rowOff>0</xdr:rowOff>
    </xdr:to>
    <xdr:sp macro="[0]!NuevoIngreso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36014394-A77B-433F-8FC1-DBBCB72D2358}"/>
            </a:ext>
          </a:extLst>
        </xdr:cNvPr>
        <xdr:cNvSpPr/>
      </xdr:nvSpPr>
      <xdr:spPr>
        <a:xfrm>
          <a:off x="9267825" y="2428875"/>
          <a:ext cx="1466851" cy="419100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400" b="1"/>
            <a:t>Nuevo Ingreso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430200</xdr:colOff>
      <xdr:row>2</xdr:row>
      <xdr:rowOff>380880</xdr:rowOff>
    </xdr:to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0" y="0"/>
          <a:ext cx="571320" cy="571320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11</xdr:col>
      <xdr:colOff>4763</xdr:colOff>
      <xdr:row>19</xdr:row>
      <xdr:rowOff>1</xdr:rowOff>
    </xdr:from>
    <xdr:to>
      <xdr:col>13</xdr:col>
      <xdr:colOff>319087</xdr:colOff>
      <xdr:row>20</xdr:row>
      <xdr:rowOff>190500</xdr:rowOff>
    </xdr:to>
    <xdr:sp macro="[0]!ActualizarTod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AEA16F62-A507-4A86-B60D-E17EBB2675FE}"/>
            </a:ext>
          </a:extLst>
        </xdr:cNvPr>
        <xdr:cNvSpPr/>
      </xdr:nvSpPr>
      <xdr:spPr>
        <a:xfrm>
          <a:off x="8453438" y="4124326"/>
          <a:ext cx="1476374" cy="400049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400" b="1"/>
            <a:t>Actualizar</a:t>
          </a:r>
          <a:r>
            <a:rPr lang="es-CL" sz="1400" b="1" baseline="0"/>
            <a:t> todo</a:t>
          </a:r>
          <a:endParaRPr lang="es-CL" sz="1400" b="1"/>
        </a:p>
      </xdr:txBody>
    </xdr:sp>
    <xdr:clientData/>
  </xdr:twoCellAnchor>
  <xdr:twoCellAnchor>
    <xdr:from>
      <xdr:col>11</xdr:col>
      <xdr:colOff>0</xdr:colOff>
      <xdr:row>21</xdr:row>
      <xdr:rowOff>114300</xdr:rowOff>
    </xdr:from>
    <xdr:to>
      <xdr:col>13</xdr:col>
      <xdr:colOff>323850</xdr:colOff>
      <xdr:row>23</xdr:row>
      <xdr:rowOff>85725</xdr:rowOff>
    </xdr:to>
    <xdr:sp macro="[0]!IrDashboard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24660345-E1DF-4D82-AE6B-65102292E2FA}"/>
            </a:ext>
          </a:extLst>
        </xdr:cNvPr>
        <xdr:cNvSpPr/>
      </xdr:nvSpPr>
      <xdr:spPr>
        <a:xfrm>
          <a:off x="8448675" y="4657725"/>
          <a:ext cx="1485900" cy="390525"/>
        </a:xfrm>
        <a:prstGeom prst="round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400" b="1"/>
            <a:t>IR</a:t>
          </a:r>
          <a:r>
            <a:rPr lang="es-CL" sz="1400" b="1" baseline="0"/>
            <a:t> a Dashboard</a:t>
          </a:r>
        </a:p>
        <a:p>
          <a:pPr algn="ctr"/>
          <a:endParaRPr lang="es-CL" sz="1400" b="1"/>
        </a:p>
      </xdr:txBody>
    </xdr:sp>
    <xdr:clientData/>
  </xdr:twoCellAnchor>
  <xdr:twoCellAnchor>
    <xdr:from>
      <xdr:col>11</xdr:col>
      <xdr:colOff>4763</xdr:colOff>
      <xdr:row>14</xdr:row>
      <xdr:rowOff>0</xdr:rowOff>
    </xdr:from>
    <xdr:to>
      <xdr:col>13</xdr:col>
      <xdr:colOff>319087</xdr:colOff>
      <xdr:row>15</xdr:row>
      <xdr:rowOff>200025</xdr:rowOff>
    </xdr:to>
    <xdr:sp macro="[0]!ConsultarStock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6A8ABA24-512A-4EA4-A432-E25362BE543A}"/>
            </a:ext>
          </a:extLst>
        </xdr:cNvPr>
        <xdr:cNvSpPr/>
      </xdr:nvSpPr>
      <xdr:spPr>
        <a:xfrm>
          <a:off x="8453438" y="3076575"/>
          <a:ext cx="1476374" cy="409575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400" b="1"/>
            <a:t>Consultar</a:t>
          </a:r>
          <a:r>
            <a:rPr lang="es-CL" sz="1400" b="1" baseline="0"/>
            <a:t> Stock</a:t>
          </a:r>
          <a:endParaRPr lang="es-CL" sz="1400" b="1"/>
        </a:p>
      </xdr:txBody>
    </xdr:sp>
    <xdr:clientData/>
  </xdr:twoCellAnchor>
  <xdr:twoCellAnchor>
    <xdr:from>
      <xdr:col>11</xdr:col>
      <xdr:colOff>0</xdr:colOff>
      <xdr:row>16</xdr:row>
      <xdr:rowOff>123825</xdr:rowOff>
    </xdr:from>
    <xdr:to>
      <xdr:col>13</xdr:col>
      <xdr:colOff>323850</xdr:colOff>
      <xdr:row>18</xdr:row>
      <xdr:rowOff>95250</xdr:rowOff>
    </xdr:to>
    <xdr:sp macro="[0]!VerAlertas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5CF86D66-FB84-47F4-B31D-9FF549D9DF8B}"/>
            </a:ext>
          </a:extLst>
        </xdr:cNvPr>
        <xdr:cNvSpPr/>
      </xdr:nvSpPr>
      <xdr:spPr>
        <a:xfrm>
          <a:off x="8448675" y="3619500"/>
          <a:ext cx="1485900" cy="390525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400" b="1"/>
            <a:t>Ver</a:t>
          </a:r>
          <a:r>
            <a:rPr lang="es-CL" sz="1400" b="1" baseline="0"/>
            <a:t> Alerta </a:t>
          </a:r>
          <a:endParaRPr lang="es-CL" sz="1400" b="1"/>
        </a:p>
      </xdr:txBody>
    </xdr:sp>
    <xdr:clientData/>
  </xdr:twoCellAnchor>
  <xdr:twoCellAnchor>
    <xdr:from>
      <xdr:col>11</xdr:col>
      <xdr:colOff>4763</xdr:colOff>
      <xdr:row>11</xdr:row>
      <xdr:rowOff>142875</xdr:rowOff>
    </xdr:from>
    <xdr:to>
      <xdr:col>13</xdr:col>
      <xdr:colOff>338138</xdr:colOff>
      <xdr:row>13</xdr:row>
      <xdr:rowOff>123825</xdr:rowOff>
    </xdr:to>
    <xdr:sp macro="[0]!RegistrarSalida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9ACBE08A-F279-44B3-930E-24E1425CCD4D}"/>
            </a:ext>
          </a:extLst>
        </xdr:cNvPr>
        <xdr:cNvSpPr/>
      </xdr:nvSpPr>
      <xdr:spPr>
        <a:xfrm>
          <a:off x="8453438" y="2590800"/>
          <a:ext cx="1495425" cy="40005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400" b="1"/>
            <a:t>Registro</a:t>
          </a:r>
          <a:r>
            <a:rPr lang="es-CL" sz="1400" b="1" baseline="0"/>
            <a:t> Salida</a:t>
          </a:r>
          <a:endParaRPr lang="es-CL" sz="1400" b="1"/>
        </a:p>
      </xdr:txBody>
    </xdr:sp>
    <xdr:clientData/>
  </xdr:twoCellAnchor>
  <xdr:twoCellAnchor>
    <xdr:from>
      <xdr:col>11</xdr:col>
      <xdr:colOff>19050</xdr:colOff>
      <xdr:row>9</xdr:row>
      <xdr:rowOff>0</xdr:rowOff>
    </xdr:from>
    <xdr:to>
      <xdr:col>13</xdr:col>
      <xdr:colOff>323851</xdr:colOff>
      <xdr:row>11</xdr:row>
      <xdr:rowOff>0</xdr:rowOff>
    </xdr:to>
    <xdr:sp macro="[0]!NuevoIngreso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601A990F-0C0C-4126-AE2F-377C65F4D054}"/>
            </a:ext>
          </a:extLst>
        </xdr:cNvPr>
        <xdr:cNvSpPr/>
      </xdr:nvSpPr>
      <xdr:spPr>
        <a:xfrm>
          <a:off x="8467725" y="2028825"/>
          <a:ext cx="1466851" cy="419100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400" b="1"/>
            <a:t>Nuevo Ingreso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430200</xdr:colOff>
      <xdr:row>2</xdr:row>
      <xdr:rowOff>37800</xdr:rowOff>
    </xdr:to>
    <xdr:pic>
      <xdr:nvPicPr>
        <xdr:cNvPr id="3" name="Image 1" descr="Picture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0" y="0"/>
          <a:ext cx="571320" cy="571320"/>
        </a:xfrm>
        <a:prstGeom prst="rect">
          <a:avLst/>
        </a:prstGeom>
        <a:ln w="0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1B4332"/>
  </sheetPr>
  <dimension ref="B1:I25"/>
  <sheetViews>
    <sheetView showGridLines="0" tabSelected="1" zoomScaleNormal="100" workbookViewId="0">
      <selection activeCell="I25" sqref="I25"/>
    </sheetView>
  </sheetViews>
  <sheetFormatPr baseColWidth="10" defaultColWidth="8.7109375" defaultRowHeight="15" x14ac:dyDescent="0.25"/>
  <cols>
    <col min="1" max="1" width="2" customWidth="1"/>
    <col min="2" max="9" width="14" customWidth="1"/>
    <col min="10" max="10" width="2" customWidth="1"/>
  </cols>
  <sheetData>
    <row r="1" spans="2:9" ht="9.75" customHeight="1" x14ac:dyDescent="0.25"/>
    <row r="2" spans="2:9" ht="7.5" customHeight="1" x14ac:dyDescent="0.25">
      <c r="B2" s="22" t="s">
        <v>0</v>
      </c>
      <c r="C2" s="22"/>
      <c r="D2" s="22"/>
      <c r="E2" s="22"/>
      <c r="F2" s="22"/>
      <c r="G2" s="22"/>
      <c r="H2" s="22"/>
      <c r="I2" s="22"/>
    </row>
    <row r="3" spans="2:9" ht="30" customHeight="1" x14ac:dyDescent="0.25">
      <c r="B3" s="22"/>
      <c r="C3" s="22"/>
      <c r="D3" s="22"/>
      <c r="E3" s="22"/>
      <c r="F3" s="22"/>
      <c r="G3" s="22"/>
      <c r="H3" s="22"/>
      <c r="I3" s="22"/>
    </row>
    <row r="4" spans="2:9" ht="7.5" customHeight="1" x14ac:dyDescent="0.25">
      <c r="B4" s="22"/>
      <c r="C4" s="22"/>
      <c r="D4" s="22"/>
      <c r="E4" s="22"/>
      <c r="F4" s="22"/>
      <c r="G4" s="22"/>
      <c r="H4" s="22"/>
      <c r="I4" s="22"/>
    </row>
    <row r="5" spans="2:9" ht="15.75" customHeight="1" x14ac:dyDescent="0.25">
      <c r="B5" s="23" t="s">
        <v>1</v>
      </c>
      <c r="C5" s="23"/>
      <c r="D5" s="23"/>
      <c r="E5" s="23"/>
      <c r="F5" s="23"/>
      <c r="G5" s="23"/>
      <c r="H5" s="23"/>
      <c r="I5" s="23"/>
    </row>
    <row r="6" spans="2:9" ht="12" customHeight="1" x14ac:dyDescent="0.25"/>
    <row r="7" spans="2:9" ht="9.75" customHeight="1" x14ac:dyDescent="0.25"/>
    <row r="8" spans="2:9" ht="27.75" customHeight="1" x14ac:dyDescent="0.25">
      <c r="B8" s="13" t="s">
        <v>2</v>
      </c>
      <c r="C8" s="13"/>
      <c r="D8" s="14" t="s">
        <v>3</v>
      </c>
      <c r="E8" s="14"/>
      <c r="F8" s="24" t="s">
        <v>4</v>
      </c>
      <c r="G8" s="24"/>
      <c r="H8" s="15" t="s">
        <v>5</v>
      </c>
      <c r="I8" s="15"/>
    </row>
    <row r="9" spans="2:9" ht="36" customHeight="1" x14ac:dyDescent="0.25">
      <c r="B9" s="25">
        <f>Catalogo!C4</f>
        <v>0</v>
      </c>
      <c r="C9" s="25"/>
      <c r="D9" s="26">
        <f>Catalogo!E4</f>
        <v>0</v>
      </c>
      <c r="E9" s="26"/>
      <c r="F9" s="27">
        <f>Catalogo!G4</f>
        <v>0</v>
      </c>
      <c r="G9" s="27"/>
      <c r="H9" s="28">
        <f>Catalogo!I4</f>
        <v>0</v>
      </c>
      <c r="I9" s="28"/>
    </row>
    <row r="10" spans="2:9" ht="19.5" customHeight="1" x14ac:dyDescent="0.25">
      <c r="B10" s="29"/>
      <c r="C10" s="29"/>
      <c r="D10" s="30"/>
      <c r="E10" s="30"/>
      <c r="F10" s="31"/>
      <c r="G10" s="31"/>
      <c r="H10" s="32"/>
      <c r="I10" s="32"/>
    </row>
    <row r="11" spans="2:9" ht="9.75" customHeight="1" x14ac:dyDescent="0.25"/>
    <row r="13" spans="2:9" ht="21.75" customHeight="1" x14ac:dyDescent="0.25">
      <c r="B13" s="33" t="s">
        <v>6</v>
      </c>
      <c r="C13" s="33"/>
      <c r="D13" s="33"/>
      <c r="E13" s="33"/>
      <c r="F13" s="33"/>
      <c r="G13" s="33"/>
      <c r="H13" s="33"/>
      <c r="I13" s="33"/>
    </row>
    <row r="14" spans="2:9" ht="19.5" customHeight="1" x14ac:dyDescent="0.25">
      <c r="B14" s="34" t="s">
        <v>7</v>
      </c>
      <c r="C14" s="34"/>
      <c r="D14" s="34" t="s">
        <v>8</v>
      </c>
      <c r="E14" s="34"/>
      <c r="F14" s="34" t="s">
        <v>9</v>
      </c>
      <c r="G14" s="34"/>
      <c r="H14" s="34" t="s">
        <v>10</v>
      </c>
      <c r="I14" s="34"/>
    </row>
    <row r="15" spans="2:9" ht="18" customHeight="1" x14ac:dyDescent="0.25">
      <c r="B15" s="35" t="s">
        <v>11</v>
      </c>
      <c r="C15" s="35"/>
      <c r="D15" s="36">
        <f>COUNTIF(Catalogo!D10:D209,"COPA ABIERTO")</f>
        <v>2</v>
      </c>
      <c r="E15" s="36"/>
      <c r="F15" s="37">
        <f>SUMIF(Catalogo!D10:D209,"COPA ABIERTO",Catalogo!H10:H209)</f>
        <v>1</v>
      </c>
      <c r="G15" s="37"/>
      <c r="H15" s="38" t="str">
        <f>IF(F15=0,"Agotado",IF(F15&lt;=2,"Bajo","OK"))</f>
        <v>Bajo</v>
      </c>
      <c r="I15" s="38"/>
    </row>
    <row r="16" spans="2:9" ht="18" customHeight="1" x14ac:dyDescent="0.25">
      <c r="B16" s="39" t="s">
        <v>12</v>
      </c>
      <c r="C16" s="39"/>
      <c r="D16" s="40">
        <f>COUNTIF(Catalogo!D10:D209,"GORRO DE LANA")</f>
        <v>4</v>
      </c>
      <c r="E16" s="40"/>
      <c r="F16" s="41">
        <f>SUMIF(Catalogo!D10:D209,"GORRO DE LANA",Catalogo!H10:H209)</f>
        <v>1</v>
      </c>
      <c r="G16" s="41"/>
      <c r="H16" s="42" t="str">
        <f>IF(F16=0,"Agotado",IF(F16&lt;=2,"Bajo","OK"))</f>
        <v>Bajo</v>
      </c>
      <c r="I16" s="42"/>
    </row>
    <row r="17" spans="2:9" ht="18" customHeight="1" x14ac:dyDescent="0.25">
      <c r="B17" s="35" t="s">
        <v>13</v>
      </c>
      <c r="C17" s="35"/>
      <c r="D17" s="36">
        <f>COUNTIF(Catalogo!D10:D209,"PELOTAS DE GOLF")</f>
        <v>1</v>
      </c>
      <c r="E17" s="36"/>
      <c r="F17" s="37">
        <f>SUMIF(Catalogo!D10:D209,"PELOTAS DE GOLF",Catalogo!H10:H209)</f>
        <v>8</v>
      </c>
      <c r="G17" s="37"/>
      <c r="H17" s="38" t="str">
        <f>IF(F17=0,"Agotado",IF(F17&lt;=2,"Bajo","OK"))</f>
        <v>OK</v>
      </c>
      <c r="I17" s="38"/>
    </row>
    <row r="18" spans="2:9" ht="18" customHeight="1" x14ac:dyDescent="0.25">
      <c r="B18" s="39" t="s">
        <v>14</v>
      </c>
      <c r="C18" s="39"/>
      <c r="D18" s="40">
        <f>COUNTIF(Catalogo!D10:D209,"GUANTES")</f>
        <v>3</v>
      </c>
      <c r="E18" s="40"/>
      <c r="F18" s="41">
        <f>SUMIF(Catalogo!D10:D209,"GUANTES",Catalogo!H10:H209)</f>
        <v>18</v>
      </c>
      <c r="G18" s="41"/>
      <c r="H18" s="42" t="str">
        <f>IF(F18=0,"Agotado",IF(F18&lt;=2,"Bajo","OK"))</f>
        <v>OK</v>
      </c>
      <c r="I18" s="42"/>
    </row>
    <row r="19" spans="2:9" ht="18" customHeight="1" x14ac:dyDescent="0.25">
      <c r="B19" s="35" t="s">
        <v>15</v>
      </c>
      <c r="C19" s="35"/>
      <c r="D19" s="36">
        <f>COUNTIF(Catalogo!D10:D209,"TROFEOS")</f>
        <v>3</v>
      </c>
      <c r="E19" s="36"/>
      <c r="F19" s="37">
        <f>SUMIF(Catalogo!D10:D209,"TROFEOS",Catalogo!H10:H209)</f>
        <v>19</v>
      </c>
      <c r="G19" s="37"/>
      <c r="H19" s="38" t="str">
        <f>IF(F19=0,"Agotado",IF(F19&lt;=2,"Bajo","OK"))</f>
        <v>OK</v>
      </c>
      <c r="I19" s="38"/>
    </row>
    <row r="25" spans="2:9" x14ac:dyDescent="0.25">
      <c r="I25" s="11"/>
    </row>
  </sheetData>
  <mergeCells count="39">
    <mergeCell ref="B19:C19"/>
    <mergeCell ref="D19:E19"/>
    <mergeCell ref="F19:G19"/>
    <mergeCell ref="H19:I19"/>
    <mergeCell ref="B17:C17"/>
    <mergeCell ref="D17:E17"/>
    <mergeCell ref="F17:G17"/>
    <mergeCell ref="H17:I17"/>
    <mergeCell ref="B18:C18"/>
    <mergeCell ref="D18:E18"/>
    <mergeCell ref="F18:G18"/>
    <mergeCell ref="H18:I18"/>
    <mergeCell ref="B15:C15"/>
    <mergeCell ref="D15:E15"/>
    <mergeCell ref="F15:G15"/>
    <mergeCell ref="H15:I15"/>
    <mergeCell ref="B16:C16"/>
    <mergeCell ref="D16:E16"/>
    <mergeCell ref="F16:G16"/>
    <mergeCell ref="H16:I16"/>
    <mergeCell ref="B13:I13"/>
    <mergeCell ref="B14:C14"/>
    <mergeCell ref="D14:E14"/>
    <mergeCell ref="F14:G14"/>
    <mergeCell ref="H14:I14"/>
    <mergeCell ref="B9:C9"/>
    <mergeCell ref="D9:E9"/>
    <mergeCell ref="F9:G9"/>
    <mergeCell ref="H9:I9"/>
    <mergeCell ref="B10:C10"/>
    <mergeCell ref="D10:E10"/>
    <mergeCell ref="F10:G10"/>
    <mergeCell ref="H10:I10"/>
    <mergeCell ref="B2:I4"/>
    <mergeCell ref="B5:I5"/>
    <mergeCell ref="B8:C8"/>
    <mergeCell ref="D8:E8"/>
    <mergeCell ref="F8:G8"/>
    <mergeCell ref="H8:I8"/>
  </mergeCells>
  <pageMargins left="0.75" right="0.75" top="1" bottom="1" header="0.511811023622047" footer="0.511811023622047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40916C"/>
  </sheetPr>
  <dimension ref="B1:I209"/>
  <sheetViews>
    <sheetView showGridLines="0" zoomScaleNormal="100" workbookViewId="0">
      <pane xSplit="1" ySplit="9" topLeftCell="B10" activePane="bottomRight" state="frozen"/>
      <selection pane="topRight" activeCell="B1" sqref="B1"/>
      <selection pane="bottomLeft" activeCell="A10" sqref="A10"/>
      <selection pane="bottomRight" activeCell="Q27" sqref="Q27"/>
    </sheetView>
  </sheetViews>
  <sheetFormatPr baseColWidth="10" defaultColWidth="8.7109375" defaultRowHeight="15" x14ac:dyDescent="0.25"/>
  <cols>
    <col min="1" max="1" width="2" customWidth="1"/>
    <col min="2" max="2" width="14" customWidth="1"/>
    <col min="3" max="3" width="22" customWidth="1"/>
    <col min="4" max="4" width="16" customWidth="1"/>
    <col min="5" max="5" width="30" customWidth="1"/>
    <col min="6" max="6" width="8" customWidth="1"/>
    <col min="7" max="9" width="12" customWidth="1"/>
    <col min="10" max="10" width="2" customWidth="1"/>
  </cols>
  <sheetData>
    <row r="1" spans="2:9" ht="7.5" customHeight="1" x14ac:dyDescent="0.25"/>
    <row r="2" spans="2:9" ht="7.5" customHeight="1" x14ac:dyDescent="0.25">
      <c r="B2" s="12" t="s">
        <v>16</v>
      </c>
      <c r="C2" s="12"/>
      <c r="D2" s="12"/>
      <c r="E2" s="12"/>
      <c r="F2" s="12"/>
      <c r="G2" s="12"/>
      <c r="H2" s="12"/>
      <c r="I2" s="12"/>
    </row>
    <row r="3" spans="2:9" ht="31.5" customHeight="1" x14ac:dyDescent="0.25">
      <c r="B3" s="12"/>
      <c r="C3" s="12"/>
      <c r="D3" s="12"/>
      <c r="E3" s="12"/>
      <c r="F3" s="12"/>
      <c r="G3" s="12"/>
      <c r="H3" s="12"/>
      <c r="I3" s="12"/>
    </row>
    <row r="4" spans="2:9" ht="21.75" customHeight="1" x14ac:dyDescent="0.25">
      <c r="B4" s="13" t="s">
        <v>2</v>
      </c>
      <c r="C4" s="13"/>
      <c r="D4" s="14" t="s">
        <v>3</v>
      </c>
      <c r="E4" s="14"/>
      <c r="F4" s="24" t="s">
        <v>4</v>
      </c>
      <c r="G4" s="24"/>
      <c r="H4" s="15" t="s">
        <v>5</v>
      </c>
      <c r="I4" s="15"/>
    </row>
    <row r="5" spans="2:9" ht="30" customHeight="1" x14ac:dyDescent="0.25">
      <c r="B5" s="17">
        <f>COUNTA(B10:B209)</f>
        <v>13</v>
      </c>
      <c r="C5" s="17"/>
      <c r="D5" s="18">
        <f>COUNTIF(I10:I209,"CON STOCK")</f>
        <v>7</v>
      </c>
      <c r="E5" s="18"/>
      <c r="F5" s="43">
        <f>COUNTIF(I10:I209,"STOCK BAJO")</f>
        <v>2</v>
      </c>
      <c r="G5" s="43"/>
      <c r="H5" s="19">
        <f>COUNTIF(I10:I209,"AGOTADO")</f>
        <v>4</v>
      </c>
      <c r="I5" s="19"/>
    </row>
    <row r="6" spans="2:9" ht="7.5" customHeight="1" x14ac:dyDescent="0.25"/>
    <row r="7" spans="2:9" ht="15.75" customHeight="1" x14ac:dyDescent="0.25">
      <c r="B7" s="21" t="s">
        <v>17</v>
      </c>
      <c r="C7" s="21"/>
      <c r="D7" s="21"/>
      <c r="E7" s="21"/>
      <c r="F7" s="21"/>
      <c r="G7" s="21"/>
      <c r="H7" s="21"/>
      <c r="I7" s="21"/>
    </row>
    <row r="9" spans="2:9" ht="21.75" customHeight="1" x14ac:dyDescent="0.25">
      <c r="B9" s="3" t="s">
        <v>18</v>
      </c>
      <c r="C9" s="3" t="s">
        <v>19</v>
      </c>
      <c r="D9" s="3" t="s">
        <v>7</v>
      </c>
      <c r="E9" s="3" t="s">
        <v>20</v>
      </c>
      <c r="F9" s="3" t="s">
        <v>21</v>
      </c>
      <c r="G9" s="3" t="s">
        <v>22</v>
      </c>
      <c r="H9" s="3" t="s">
        <v>23</v>
      </c>
      <c r="I9" s="3" t="s">
        <v>10</v>
      </c>
    </row>
    <row r="10" spans="2:9" ht="16.5" customHeight="1" x14ac:dyDescent="0.25">
      <c r="B10" s="4" t="s">
        <v>24</v>
      </c>
      <c r="C10" s="5" t="s">
        <v>25</v>
      </c>
      <c r="D10" s="5" t="s">
        <v>11</v>
      </c>
      <c r="E10" s="5" t="s">
        <v>26</v>
      </c>
      <c r="F10" s="4" t="s">
        <v>27</v>
      </c>
      <c r="G10" s="4">
        <v>0</v>
      </c>
      <c r="H10" s="4">
        <f>IF(B10="","",SUMPRODUCT((Movimientos!E$9:E$508=B10)*(Movimientos!C$9:C$508&lt;&gt;"Salida")*Movimientos!H$9:H$508)-SUMPRODUCT((Movimientos!E$9:E$508=B10)*(Movimientos!C$9:C$508="Salida")*Movimientos!H$9:H$508))</f>
        <v>0</v>
      </c>
      <c r="I10" s="4" t="str">
        <f t="shared" ref="I10:I41" si="0">IF(B10="","",IF(H10=0,"AGOTADO",IF(H10&lt;=G10,"STOCK BAJO","CON STOCK")))</f>
        <v>AGOTADO</v>
      </c>
    </row>
    <row r="11" spans="2:9" ht="16.5" customHeight="1" x14ac:dyDescent="0.25">
      <c r="B11" s="6" t="s">
        <v>28</v>
      </c>
      <c r="C11" s="7" t="s">
        <v>29</v>
      </c>
      <c r="D11" s="7" t="s">
        <v>11</v>
      </c>
      <c r="E11" s="7" t="s">
        <v>26</v>
      </c>
      <c r="F11" s="6" t="s">
        <v>27</v>
      </c>
      <c r="G11" s="6">
        <v>0</v>
      </c>
      <c r="H11" s="6">
        <f>IF(B11="","",SUMPRODUCT((Movimientos!E$9:E$508=B11)*(Movimientos!C$9:C$508&lt;&gt;"Salida")*Movimientos!H$9:H$508)-SUMPRODUCT((Movimientos!E$9:E$508=B11)*(Movimientos!C$9:C$508="Salida")*Movimientos!H$9:H$508))</f>
        <v>1</v>
      </c>
      <c r="I11" s="6" t="str">
        <f t="shared" si="0"/>
        <v>CON STOCK</v>
      </c>
    </row>
    <row r="12" spans="2:9" ht="16.5" customHeight="1" x14ac:dyDescent="0.25">
      <c r="B12" s="4" t="s">
        <v>30</v>
      </c>
      <c r="C12" s="5" t="s">
        <v>31</v>
      </c>
      <c r="D12" s="5" t="s">
        <v>12</v>
      </c>
      <c r="E12" s="5" t="s">
        <v>32</v>
      </c>
      <c r="F12" s="4" t="s">
        <v>27</v>
      </c>
      <c r="G12" s="4">
        <v>0</v>
      </c>
      <c r="H12" s="4">
        <f>IF(B12="","",SUMPRODUCT((Movimientos!E$9:E$508=B12)*(Movimientos!C$9:C$508&lt;&gt;"Salida")*Movimientos!H$9:H$508)-SUMPRODUCT((Movimientos!E$9:E$508=B12)*(Movimientos!C$9:C$508="Salida")*Movimientos!H$9:H$508))</f>
        <v>0</v>
      </c>
      <c r="I12" s="4" t="str">
        <f t="shared" si="0"/>
        <v>AGOTADO</v>
      </c>
    </row>
    <row r="13" spans="2:9" ht="16.5" customHeight="1" x14ac:dyDescent="0.25">
      <c r="B13" s="6" t="s">
        <v>33</v>
      </c>
      <c r="C13" s="7" t="s">
        <v>34</v>
      </c>
      <c r="D13" s="7" t="s">
        <v>12</v>
      </c>
      <c r="E13" s="7" t="s">
        <v>32</v>
      </c>
      <c r="F13" s="6" t="s">
        <v>27</v>
      </c>
      <c r="G13" s="6">
        <v>0</v>
      </c>
      <c r="H13" s="6">
        <f>IF(B13="","",SUMPRODUCT((Movimientos!E$9:E$508=B13)*(Movimientos!C$9:C$508&lt;&gt;"Salida")*Movimientos!H$9:H$508)-SUMPRODUCT((Movimientos!E$9:E$508=B13)*(Movimientos!C$9:C$508="Salida")*Movimientos!H$9:H$508))</f>
        <v>1</v>
      </c>
      <c r="I13" s="6" t="str">
        <f t="shared" si="0"/>
        <v>CON STOCK</v>
      </c>
    </row>
    <row r="14" spans="2:9" ht="16.5" customHeight="1" x14ac:dyDescent="0.25">
      <c r="B14" s="4" t="s">
        <v>35</v>
      </c>
      <c r="C14" s="5" t="s">
        <v>36</v>
      </c>
      <c r="D14" s="5" t="s">
        <v>12</v>
      </c>
      <c r="E14" s="5" t="s">
        <v>32</v>
      </c>
      <c r="F14" s="4" t="s">
        <v>27</v>
      </c>
      <c r="G14" s="4">
        <v>1</v>
      </c>
      <c r="H14" s="4">
        <f>IF(B14="","",SUMPRODUCT((Movimientos!E$9:E$508=B14)*(Movimientos!C$9:C$508&lt;&gt;"Salida")*Movimientos!H$9:H$508)-SUMPRODUCT((Movimientos!E$9:E$508=B14)*(Movimientos!C$9:C$508="Salida")*Movimientos!H$9:H$508))</f>
        <v>0</v>
      </c>
      <c r="I14" s="4" t="str">
        <f t="shared" si="0"/>
        <v>AGOTADO</v>
      </c>
    </row>
    <row r="15" spans="2:9" ht="16.5" customHeight="1" x14ac:dyDescent="0.25">
      <c r="B15" s="6" t="s">
        <v>37</v>
      </c>
      <c r="C15" s="7" t="s">
        <v>38</v>
      </c>
      <c r="D15" s="7" t="s">
        <v>12</v>
      </c>
      <c r="E15" s="7" t="s">
        <v>32</v>
      </c>
      <c r="F15" s="6" t="s">
        <v>27</v>
      </c>
      <c r="G15" s="6">
        <v>1</v>
      </c>
      <c r="H15" s="6">
        <f>IF(B15="","",SUMPRODUCT((Movimientos!E$9:E$508=B15)*(Movimientos!C$9:C$508&lt;&gt;"Salida")*Movimientos!H$9:H$508)-SUMPRODUCT((Movimientos!E$9:E$508=B15)*(Movimientos!C$9:C$508="Salida")*Movimientos!H$9:H$508))</f>
        <v>0</v>
      </c>
      <c r="I15" s="6" t="str">
        <f t="shared" si="0"/>
        <v>AGOTADO</v>
      </c>
    </row>
    <row r="16" spans="2:9" ht="16.5" customHeight="1" x14ac:dyDescent="0.25">
      <c r="B16" s="4" t="s">
        <v>39</v>
      </c>
      <c r="C16" s="5" t="s">
        <v>40</v>
      </c>
      <c r="D16" s="5" t="s">
        <v>13</v>
      </c>
      <c r="E16" s="5" t="s">
        <v>41</v>
      </c>
      <c r="F16" s="4" t="s">
        <v>27</v>
      </c>
      <c r="G16" s="4">
        <v>1</v>
      </c>
      <c r="H16" s="4">
        <f>IF(B16="","",SUMPRODUCT((Movimientos!E$9:E$508=B16)*(Movimientos!C$9:C$508&lt;&gt;"Salida")*Movimientos!H$9:H$508)-SUMPRODUCT((Movimientos!E$9:E$508=B16)*(Movimientos!C$9:C$508="Salida")*Movimientos!H$9:H$508))</f>
        <v>8</v>
      </c>
      <c r="I16" s="4" t="str">
        <f t="shared" si="0"/>
        <v>CON STOCK</v>
      </c>
    </row>
    <row r="17" spans="2:9" ht="16.5" customHeight="1" x14ac:dyDescent="0.25">
      <c r="B17" s="6" t="s">
        <v>42</v>
      </c>
      <c r="C17" s="7" t="s">
        <v>43</v>
      </c>
      <c r="D17" s="7" t="s">
        <v>14</v>
      </c>
      <c r="E17" s="7" t="s">
        <v>44</v>
      </c>
      <c r="F17" s="6" t="s">
        <v>27</v>
      </c>
      <c r="G17" s="6">
        <v>1</v>
      </c>
      <c r="H17" s="6">
        <f>IF(B17="","",SUMPRODUCT((Movimientos!E$9:E$508=B17)*(Movimientos!C$9:C$508&lt;&gt;"Salida")*Movimientos!H$9:H$508)-SUMPRODUCT((Movimientos!E$9:E$508=B17)*(Movimientos!C$9:C$508="Salida")*Movimientos!H$9:H$508))</f>
        <v>16</v>
      </c>
      <c r="I17" s="6" t="str">
        <f t="shared" si="0"/>
        <v>CON STOCK</v>
      </c>
    </row>
    <row r="18" spans="2:9" ht="16.5" customHeight="1" x14ac:dyDescent="0.25">
      <c r="B18" s="4" t="s">
        <v>45</v>
      </c>
      <c r="C18" s="5" t="s">
        <v>46</v>
      </c>
      <c r="D18" s="5" t="s">
        <v>14</v>
      </c>
      <c r="E18" s="5" t="s">
        <v>47</v>
      </c>
      <c r="F18" s="4" t="s">
        <v>27</v>
      </c>
      <c r="G18" s="4">
        <v>1</v>
      </c>
      <c r="H18" s="4">
        <f>IF(B18="","",SUMPRODUCT((Movimientos!E$9:E$508=B18)*(Movimientos!C$9:C$508&lt;&gt;"Salida")*Movimientos!H$9:H$508)-SUMPRODUCT((Movimientos!E$9:E$508=B18)*(Movimientos!C$9:C$508="Salida")*Movimientos!H$9:H$508))</f>
        <v>1</v>
      </c>
      <c r="I18" s="4" t="str">
        <f t="shared" si="0"/>
        <v>STOCK BAJO</v>
      </c>
    </row>
    <row r="19" spans="2:9" ht="16.5" customHeight="1" x14ac:dyDescent="0.25">
      <c r="B19" s="6" t="s">
        <v>48</v>
      </c>
      <c r="C19" s="7" t="s">
        <v>49</v>
      </c>
      <c r="D19" s="7" t="s">
        <v>14</v>
      </c>
      <c r="E19" s="7" t="s">
        <v>50</v>
      </c>
      <c r="F19" s="6" t="s">
        <v>27</v>
      </c>
      <c r="G19" s="6">
        <v>0</v>
      </c>
      <c r="H19" s="6">
        <f>IF(B19="","",SUMPRODUCT((Movimientos!E$9:E$508=B19)*(Movimientos!C$9:C$508&lt;&gt;"Salida")*Movimientos!H$9:H$508)-SUMPRODUCT((Movimientos!E$9:E$508=B19)*(Movimientos!C$9:C$508="Salida")*Movimientos!H$9:H$508))</f>
        <v>1</v>
      </c>
      <c r="I19" s="6" t="str">
        <f t="shared" si="0"/>
        <v>CON STOCK</v>
      </c>
    </row>
    <row r="20" spans="2:9" ht="16.5" customHeight="1" x14ac:dyDescent="0.25">
      <c r="B20" s="4" t="s">
        <v>51</v>
      </c>
      <c r="C20" s="5" t="s">
        <v>52</v>
      </c>
      <c r="D20" s="5" t="s">
        <v>15</v>
      </c>
      <c r="E20" s="5" t="s">
        <v>53</v>
      </c>
      <c r="F20" s="4" t="s">
        <v>27</v>
      </c>
      <c r="G20" s="4">
        <v>1</v>
      </c>
      <c r="H20" s="4">
        <f>IF(B20="","",SUMPRODUCT((Movimientos!E$9:E$508=B20)*(Movimientos!C$9:C$508&lt;&gt;"Salida")*Movimientos!H$9:H$508)-SUMPRODUCT((Movimientos!E$9:E$508=B20)*(Movimientos!C$9:C$508="Salida")*Movimientos!H$9:H$508))</f>
        <v>1</v>
      </c>
      <c r="I20" s="4" t="str">
        <f t="shared" si="0"/>
        <v>STOCK BAJO</v>
      </c>
    </row>
    <row r="21" spans="2:9" ht="16.5" customHeight="1" x14ac:dyDescent="0.25">
      <c r="B21" s="6" t="s">
        <v>54</v>
      </c>
      <c r="C21" s="7" t="s">
        <v>55</v>
      </c>
      <c r="D21" s="7" t="s">
        <v>15</v>
      </c>
      <c r="E21" s="7" t="s">
        <v>56</v>
      </c>
      <c r="F21" s="6" t="s">
        <v>27</v>
      </c>
      <c r="G21" s="6">
        <v>1</v>
      </c>
      <c r="H21" s="6">
        <f>IF(B21="","",SUMPRODUCT((Movimientos!E$9:E$508=B21)*(Movimientos!C$9:C$508&lt;&gt;"Salida")*Movimientos!H$9:H$508)-SUMPRODUCT((Movimientos!E$9:E$508=B21)*(Movimientos!C$9:C$508="Salida")*Movimientos!H$9:H$508))</f>
        <v>12</v>
      </c>
      <c r="I21" s="6" t="str">
        <f t="shared" si="0"/>
        <v>CON STOCK</v>
      </c>
    </row>
    <row r="22" spans="2:9" ht="16.5" customHeight="1" x14ac:dyDescent="0.25">
      <c r="B22" s="4" t="s">
        <v>57</v>
      </c>
      <c r="C22" s="5" t="s">
        <v>58</v>
      </c>
      <c r="D22" s="5" t="s">
        <v>15</v>
      </c>
      <c r="E22" s="5" t="s">
        <v>59</v>
      </c>
      <c r="F22" s="4" t="s">
        <v>27</v>
      </c>
      <c r="G22" s="4">
        <v>1</v>
      </c>
      <c r="H22" s="4">
        <f>IF(B22="","",SUMPRODUCT((Movimientos!E$9:E$508=B22)*(Movimientos!C$9:C$508&lt;&gt;"Salida")*Movimientos!H$9:H$508)-SUMPRODUCT((Movimientos!E$9:E$508=B22)*(Movimientos!C$9:C$508="Salida")*Movimientos!H$9:H$508))</f>
        <v>6</v>
      </c>
      <c r="I22" s="4" t="str">
        <f t="shared" si="0"/>
        <v>CON STOCK</v>
      </c>
    </row>
    <row r="23" spans="2:9" ht="16.5" customHeight="1" x14ac:dyDescent="0.25">
      <c r="B23" s="6"/>
      <c r="C23" s="7"/>
      <c r="D23" s="7"/>
      <c r="E23" s="7"/>
      <c r="F23" s="6"/>
      <c r="G23" s="6"/>
      <c r="H23" s="6" t="str">
        <f>IF(B23="","",SUMPRODUCT((Movimientos!E$9:E$508=B23)*(Movimientos!C$9:C$508&lt;&gt;"Salida")*Movimientos!H$9:H$508)-SUMPRODUCT((Movimientos!E$9:E$508=B23)*(Movimientos!C$9:C$508="Salida")*Movimientos!H$9:H$508))</f>
        <v/>
      </c>
      <c r="I23" s="6" t="str">
        <f t="shared" si="0"/>
        <v/>
      </c>
    </row>
    <row r="24" spans="2:9" ht="16.5" customHeight="1" x14ac:dyDescent="0.25">
      <c r="B24" s="4"/>
      <c r="C24" s="5"/>
      <c r="D24" s="5"/>
      <c r="E24" s="5"/>
      <c r="F24" s="4"/>
      <c r="G24" s="4"/>
      <c r="H24" s="4" t="str">
        <f>IF(B24="","",SUMPRODUCT((Movimientos!E$9:E$508=B24)*(Movimientos!C$9:C$508&lt;&gt;"Salida")*Movimientos!H$9:H$508)-SUMPRODUCT((Movimientos!E$9:E$508=B24)*(Movimientos!C$9:C$508="Salida")*Movimientos!H$9:H$508))</f>
        <v/>
      </c>
      <c r="I24" s="4" t="str">
        <f t="shared" si="0"/>
        <v/>
      </c>
    </row>
    <row r="25" spans="2:9" ht="16.5" customHeight="1" x14ac:dyDescent="0.25">
      <c r="B25" s="6"/>
      <c r="C25" s="7"/>
      <c r="D25" s="7"/>
      <c r="E25" s="7"/>
      <c r="F25" s="6"/>
      <c r="G25" s="6"/>
      <c r="H25" s="6" t="str">
        <f>IF(B25="","",SUMPRODUCT((Movimientos!E$9:E$508=B25)*(Movimientos!C$9:C$508&lt;&gt;"Salida")*Movimientos!H$9:H$508)-SUMPRODUCT((Movimientos!E$9:E$508=B25)*(Movimientos!C$9:C$508="Salida")*Movimientos!H$9:H$508))</f>
        <v/>
      </c>
      <c r="I25" s="6" t="str">
        <f t="shared" si="0"/>
        <v/>
      </c>
    </row>
    <row r="26" spans="2:9" ht="16.5" customHeight="1" x14ac:dyDescent="0.25">
      <c r="B26" s="4"/>
      <c r="C26" s="5"/>
      <c r="D26" s="5"/>
      <c r="E26" s="5"/>
      <c r="F26" s="4"/>
      <c r="G26" s="4"/>
      <c r="H26" s="4" t="str">
        <f>IF(B26="","",SUMPRODUCT((Movimientos!E$9:E$508=B26)*(Movimientos!C$9:C$508&lt;&gt;"Salida")*Movimientos!H$9:H$508)-SUMPRODUCT((Movimientos!E$9:E$508=B26)*(Movimientos!C$9:C$508="Salida")*Movimientos!H$9:H$508))</f>
        <v/>
      </c>
      <c r="I26" s="4" t="str">
        <f t="shared" si="0"/>
        <v/>
      </c>
    </row>
    <row r="27" spans="2:9" ht="16.5" customHeight="1" x14ac:dyDescent="0.25">
      <c r="B27" s="6"/>
      <c r="C27" s="7"/>
      <c r="D27" s="7"/>
      <c r="E27" s="7"/>
      <c r="F27" s="6"/>
      <c r="G27" s="6"/>
      <c r="H27" s="6" t="str">
        <f>IF(B27="","",SUMPRODUCT((Movimientos!E$9:E$508=B27)*(Movimientos!C$9:C$508&lt;&gt;"Salida")*Movimientos!H$9:H$508)-SUMPRODUCT((Movimientos!E$9:E$508=B27)*(Movimientos!C$9:C$508="Salida")*Movimientos!H$9:H$508))</f>
        <v/>
      </c>
      <c r="I27" s="6" t="str">
        <f t="shared" si="0"/>
        <v/>
      </c>
    </row>
    <row r="28" spans="2:9" ht="16.5" customHeight="1" x14ac:dyDescent="0.25">
      <c r="B28" s="4"/>
      <c r="C28" s="5"/>
      <c r="D28" s="5"/>
      <c r="E28" s="5"/>
      <c r="F28" s="4"/>
      <c r="G28" s="4"/>
      <c r="H28" s="4" t="str">
        <f>IF(B28="","",SUMPRODUCT((Movimientos!E$9:E$508=B28)*(Movimientos!C$9:C$508&lt;&gt;"Salida")*Movimientos!H$9:H$508)-SUMPRODUCT((Movimientos!E$9:E$508=B28)*(Movimientos!C$9:C$508="Salida")*Movimientos!H$9:H$508))</f>
        <v/>
      </c>
      <c r="I28" s="4" t="str">
        <f t="shared" si="0"/>
        <v/>
      </c>
    </row>
    <row r="29" spans="2:9" ht="16.5" customHeight="1" x14ac:dyDescent="0.25">
      <c r="B29" s="6"/>
      <c r="C29" s="7"/>
      <c r="D29" s="7"/>
      <c r="E29" s="7"/>
      <c r="F29" s="6"/>
      <c r="G29" s="6"/>
      <c r="H29" s="6" t="str">
        <f>IF(B29="","",SUMPRODUCT((Movimientos!E$9:E$508=B29)*(Movimientos!C$9:C$508&lt;&gt;"Salida")*Movimientos!H$9:H$508)-SUMPRODUCT((Movimientos!E$9:E$508=B29)*(Movimientos!C$9:C$508="Salida")*Movimientos!H$9:H$508))</f>
        <v/>
      </c>
      <c r="I29" s="6" t="str">
        <f t="shared" si="0"/>
        <v/>
      </c>
    </row>
    <row r="30" spans="2:9" ht="16.5" customHeight="1" x14ac:dyDescent="0.25">
      <c r="B30" s="4"/>
      <c r="C30" s="5"/>
      <c r="D30" s="5"/>
      <c r="E30" s="5"/>
      <c r="F30" s="4"/>
      <c r="G30" s="4"/>
      <c r="H30" s="4" t="str">
        <f>IF(B30="","",SUMPRODUCT((Movimientos!E$9:E$508=B30)*(Movimientos!C$9:C$508&lt;&gt;"Salida")*Movimientos!H$9:H$508)-SUMPRODUCT((Movimientos!E$9:E$508=B30)*(Movimientos!C$9:C$508="Salida")*Movimientos!H$9:H$508))</f>
        <v/>
      </c>
      <c r="I30" s="4" t="str">
        <f t="shared" si="0"/>
        <v/>
      </c>
    </row>
    <row r="31" spans="2:9" ht="16.5" customHeight="1" x14ac:dyDescent="0.25">
      <c r="B31" s="6"/>
      <c r="C31" s="7"/>
      <c r="D31" s="7"/>
      <c r="E31" s="7"/>
      <c r="F31" s="6"/>
      <c r="G31" s="6"/>
      <c r="H31" s="6" t="str">
        <f>IF(B31="","",SUMPRODUCT((Movimientos!E$9:E$508=B31)*(Movimientos!C$9:C$508&lt;&gt;"Salida")*Movimientos!H$9:H$508)-SUMPRODUCT((Movimientos!E$9:E$508=B31)*(Movimientos!C$9:C$508="Salida")*Movimientos!H$9:H$508))</f>
        <v/>
      </c>
      <c r="I31" s="6" t="str">
        <f t="shared" si="0"/>
        <v/>
      </c>
    </row>
    <row r="32" spans="2:9" ht="16.5" customHeight="1" x14ac:dyDescent="0.25">
      <c r="B32" s="4"/>
      <c r="C32" s="5"/>
      <c r="D32" s="5"/>
      <c r="E32" s="5"/>
      <c r="F32" s="4"/>
      <c r="G32" s="4"/>
      <c r="H32" s="4" t="str">
        <f>IF(B32="","",SUMPRODUCT((Movimientos!E$9:E$508=B32)*(Movimientos!C$9:C$508&lt;&gt;"Salida")*Movimientos!H$9:H$508)-SUMPRODUCT((Movimientos!E$9:E$508=B32)*(Movimientos!C$9:C$508="Salida")*Movimientos!H$9:H$508))</f>
        <v/>
      </c>
      <c r="I32" s="4" t="str">
        <f t="shared" si="0"/>
        <v/>
      </c>
    </row>
    <row r="33" spans="2:9" ht="16.5" customHeight="1" x14ac:dyDescent="0.25">
      <c r="B33" s="6"/>
      <c r="C33" s="7"/>
      <c r="D33" s="7"/>
      <c r="E33" s="7"/>
      <c r="F33" s="6"/>
      <c r="G33" s="6"/>
      <c r="H33" s="6" t="str">
        <f>IF(B33="","",SUMPRODUCT((Movimientos!E$9:E$508=B33)*(Movimientos!C$9:C$508&lt;&gt;"Salida")*Movimientos!H$9:H$508)-SUMPRODUCT((Movimientos!E$9:E$508=B33)*(Movimientos!C$9:C$508="Salida")*Movimientos!H$9:H$508))</f>
        <v/>
      </c>
      <c r="I33" s="6" t="str">
        <f t="shared" si="0"/>
        <v/>
      </c>
    </row>
    <row r="34" spans="2:9" ht="16.5" customHeight="1" x14ac:dyDescent="0.25">
      <c r="B34" s="4"/>
      <c r="C34" s="5"/>
      <c r="D34" s="5"/>
      <c r="E34" s="5"/>
      <c r="F34" s="4"/>
      <c r="G34" s="4"/>
      <c r="H34" s="4" t="str">
        <f>IF(B34="","",SUMPRODUCT((Movimientos!E$9:E$508=B34)*(Movimientos!C$9:C$508&lt;&gt;"Salida")*Movimientos!H$9:H$508)-SUMPRODUCT((Movimientos!E$9:E$508=B34)*(Movimientos!C$9:C$508="Salida")*Movimientos!H$9:H$508))</f>
        <v/>
      </c>
      <c r="I34" s="4" t="str">
        <f t="shared" si="0"/>
        <v/>
      </c>
    </row>
    <row r="35" spans="2:9" ht="16.5" customHeight="1" x14ac:dyDescent="0.25">
      <c r="B35" s="6"/>
      <c r="C35" s="7"/>
      <c r="D35" s="7"/>
      <c r="E35" s="7"/>
      <c r="F35" s="6"/>
      <c r="G35" s="6"/>
      <c r="H35" s="6" t="str">
        <f>IF(B35="","",SUMPRODUCT((Movimientos!E$9:E$508=B35)*(Movimientos!C$9:C$508&lt;&gt;"Salida")*Movimientos!H$9:H$508)-SUMPRODUCT((Movimientos!E$9:E$508=B35)*(Movimientos!C$9:C$508="Salida")*Movimientos!H$9:H$508))</f>
        <v/>
      </c>
      <c r="I35" s="6" t="str">
        <f t="shared" si="0"/>
        <v/>
      </c>
    </row>
    <row r="36" spans="2:9" ht="16.5" customHeight="1" x14ac:dyDescent="0.25">
      <c r="B36" s="4"/>
      <c r="C36" s="5"/>
      <c r="D36" s="5"/>
      <c r="E36" s="5"/>
      <c r="F36" s="4"/>
      <c r="G36" s="4"/>
      <c r="H36" s="4" t="str">
        <f>IF(B36="","",SUMPRODUCT((Movimientos!E$9:E$508=B36)*(Movimientos!C$9:C$508&lt;&gt;"Salida")*Movimientos!H$9:H$508)-SUMPRODUCT((Movimientos!E$9:E$508=B36)*(Movimientos!C$9:C$508="Salida")*Movimientos!H$9:H$508))</f>
        <v/>
      </c>
      <c r="I36" s="4" t="str">
        <f t="shared" si="0"/>
        <v/>
      </c>
    </row>
    <row r="37" spans="2:9" ht="16.5" customHeight="1" x14ac:dyDescent="0.25">
      <c r="B37" s="6"/>
      <c r="C37" s="7"/>
      <c r="D37" s="7"/>
      <c r="E37" s="7"/>
      <c r="F37" s="6"/>
      <c r="G37" s="6"/>
      <c r="H37" s="6" t="str">
        <f>IF(B37="","",SUMPRODUCT((Movimientos!E$9:E$508=B37)*(Movimientos!C$9:C$508&lt;&gt;"Salida")*Movimientos!H$9:H$508)-SUMPRODUCT((Movimientos!E$9:E$508=B37)*(Movimientos!C$9:C$508="Salida")*Movimientos!H$9:H$508))</f>
        <v/>
      </c>
      <c r="I37" s="6" t="str">
        <f t="shared" si="0"/>
        <v/>
      </c>
    </row>
    <row r="38" spans="2:9" ht="16.5" customHeight="1" x14ac:dyDescent="0.25">
      <c r="B38" s="4"/>
      <c r="C38" s="5"/>
      <c r="D38" s="5"/>
      <c r="E38" s="5"/>
      <c r="F38" s="4"/>
      <c r="G38" s="4"/>
      <c r="H38" s="4" t="str">
        <f>IF(B38="","",SUMPRODUCT((Movimientos!E$9:E$508=B38)*(Movimientos!C$9:C$508&lt;&gt;"Salida")*Movimientos!H$9:H$508)-SUMPRODUCT((Movimientos!E$9:E$508=B38)*(Movimientos!C$9:C$508="Salida")*Movimientos!H$9:H$508))</f>
        <v/>
      </c>
      <c r="I38" s="4" t="str">
        <f t="shared" si="0"/>
        <v/>
      </c>
    </row>
    <row r="39" spans="2:9" ht="16.5" customHeight="1" x14ac:dyDescent="0.25">
      <c r="B39" s="6"/>
      <c r="C39" s="7"/>
      <c r="D39" s="7"/>
      <c r="E39" s="7"/>
      <c r="F39" s="6"/>
      <c r="G39" s="6"/>
      <c r="H39" s="6" t="str">
        <f>IF(B39="","",SUMPRODUCT((Movimientos!E$9:E$508=B39)*(Movimientos!C$9:C$508&lt;&gt;"Salida")*Movimientos!H$9:H$508)-SUMPRODUCT((Movimientos!E$9:E$508=B39)*(Movimientos!C$9:C$508="Salida")*Movimientos!H$9:H$508))</f>
        <v/>
      </c>
      <c r="I39" s="6" t="str">
        <f t="shared" si="0"/>
        <v/>
      </c>
    </row>
    <row r="40" spans="2:9" ht="16.5" customHeight="1" x14ac:dyDescent="0.25">
      <c r="B40" s="4"/>
      <c r="C40" s="5"/>
      <c r="D40" s="5"/>
      <c r="E40" s="5"/>
      <c r="F40" s="4"/>
      <c r="G40" s="4"/>
      <c r="H40" s="4" t="str">
        <f>IF(B40="","",SUMPRODUCT((Movimientos!E$9:E$508=B40)*(Movimientos!C$9:C$508&lt;&gt;"Salida")*Movimientos!H$9:H$508)-SUMPRODUCT((Movimientos!E$9:E$508=B40)*(Movimientos!C$9:C$508="Salida")*Movimientos!H$9:H$508))</f>
        <v/>
      </c>
      <c r="I40" s="4" t="str">
        <f t="shared" si="0"/>
        <v/>
      </c>
    </row>
    <row r="41" spans="2:9" ht="16.5" customHeight="1" x14ac:dyDescent="0.25">
      <c r="B41" s="6"/>
      <c r="C41" s="7"/>
      <c r="D41" s="7"/>
      <c r="E41" s="7"/>
      <c r="F41" s="6"/>
      <c r="G41" s="6"/>
      <c r="H41" s="6" t="str">
        <f>IF(B41="","",SUMPRODUCT((Movimientos!E$9:E$508=B41)*(Movimientos!C$9:C$508&lt;&gt;"Salida")*Movimientos!H$9:H$508)-SUMPRODUCT((Movimientos!E$9:E$508=B41)*(Movimientos!C$9:C$508="Salida")*Movimientos!H$9:H$508))</f>
        <v/>
      </c>
      <c r="I41" s="6" t="str">
        <f t="shared" si="0"/>
        <v/>
      </c>
    </row>
    <row r="42" spans="2:9" ht="16.5" customHeight="1" x14ac:dyDescent="0.25">
      <c r="B42" s="4"/>
      <c r="C42" s="5"/>
      <c r="D42" s="5"/>
      <c r="E42" s="5"/>
      <c r="F42" s="4"/>
      <c r="G42" s="4"/>
      <c r="H42" s="4" t="str">
        <f>IF(B42="","",SUMPRODUCT((Movimientos!E$9:E$508=B42)*(Movimientos!C$9:C$508&lt;&gt;"Salida")*Movimientos!H$9:H$508)-SUMPRODUCT((Movimientos!E$9:E$508=B42)*(Movimientos!C$9:C$508="Salida")*Movimientos!H$9:H$508))</f>
        <v/>
      </c>
      <c r="I42" s="4" t="str">
        <f t="shared" ref="I42:I73" si="1">IF(B42="","",IF(H42=0,"AGOTADO",IF(H42&lt;=G42,"STOCK BAJO","CON STOCK")))</f>
        <v/>
      </c>
    </row>
    <row r="43" spans="2:9" ht="16.5" customHeight="1" x14ac:dyDescent="0.25">
      <c r="B43" s="6"/>
      <c r="C43" s="7"/>
      <c r="D43" s="7"/>
      <c r="E43" s="7"/>
      <c r="F43" s="6"/>
      <c r="G43" s="6"/>
      <c r="H43" s="6" t="str">
        <f>IF(B43="","",SUMPRODUCT((Movimientos!E$9:E$508=B43)*(Movimientos!C$9:C$508&lt;&gt;"Salida")*Movimientos!H$9:H$508)-SUMPRODUCT((Movimientos!E$9:E$508=B43)*(Movimientos!C$9:C$508="Salida")*Movimientos!H$9:H$508))</f>
        <v/>
      </c>
      <c r="I43" s="6" t="str">
        <f t="shared" si="1"/>
        <v/>
      </c>
    </row>
    <row r="44" spans="2:9" ht="16.5" customHeight="1" x14ac:dyDescent="0.25">
      <c r="B44" s="4"/>
      <c r="C44" s="5"/>
      <c r="D44" s="5"/>
      <c r="E44" s="5"/>
      <c r="F44" s="4"/>
      <c r="G44" s="4"/>
      <c r="H44" s="4" t="str">
        <f>IF(B44="","",SUMPRODUCT((Movimientos!E$9:E$508=B44)*(Movimientos!C$9:C$508&lt;&gt;"Salida")*Movimientos!H$9:H$508)-SUMPRODUCT((Movimientos!E$9:E$508=B44)*(Movimientos!C$9:C$508="Salida")*Movimientos!H$9:H$508))</f>
        <v/>
      </c>
      <c r="I44" s="4" t="str">
        <f t="shared" si="1"/>
        <v/>
      </c>
    </row>
    <row r="45" spans="2:9" ht="16.5" customHeight="1" x14ac:dyDescent="0.25">
      <c r="B45" s="6"/>
      <c r="C45" s="7"/>
      <c r="D45" s="7"/>
      <c r="E45" s="7"/>
      <c r="F45" s="6"/>
      <c r="G45" s="6"/>
      <c r="H45" s="6" t="str">
        <f>IF(B45="","",SUMPRODUCT((Movimientos!E$9:E$508=B45)*(Movimientos!C$9:C$508&lt;&gt;"Salida")*Movimientos!H$9:H$508)-SUMPRODUCT((Movimientos!E$9:E$508=B45)*(Movimientos!C$9:C$508="Salida")*Movimientos!H$9:H$508))</f>
        <v/>
      </c>
      <c r="I45" s="6" t="str">
        <f t="shared" si="1"/>
        <v/>
      </c>
    </row>
    <row r="46" spans="2:9" ht="16.5" customHeight="1" x14ac:dyDescent="0.25">
      <c r="B46" s="4"/>
      <c r="C46" s="5"/>
      <c r="D46" s="5"/>
      <c r="E46" s="5"/>
      <c r="F46" s="4"/>
      <c r="G46" s="4"/>
      <c r="H46" s="4" t="str">
        <f>IF(B46="","",SUMPRODUCT((Movimientos!E$9:E$508=B46)*(Movimientos!C$9:C$508&lt;&gt;"Salida")*Movimientos!H$9:H$508)-SUMPRODUCT((Movimientos!E$9:E$508=B46)*(Movimientos!C$9:C$508="Salida")*Movimientos!H$9:H$508))</f>
        <v/>
      </c>
      <c r="I46" s="4" t="str">
        <f t="shared" si="1"/>
        <v/>
      </c>
    </row>
    <row r="47" spans="2:9" ht="16.5" customHeight="1" x14ac:dyDescent="0.25">
      <c r="B47" s="6"/>
      <c r="C47" s="7"/>
      <c r="D47" s="7"/>
      <c r="E47" s="7"/>
      <c r="F47" s="6"/>
      <c r="G47" s="6"/>
      <c r="H47" s="6" t="str">
        <f>IF(B47="","",SUMPRODUCT((Movimientos!E$9:E$508=B47)*(Movimientos!C$9:C$508&lt;&gt;"Salida")*Movimientos!H$9:H$508)-SUMPRODUCT((Movimientos!E$9:E$508=B47)*(Movimientos!C$9:C$508="Salida")*Movimientos!H$9:H$508))</f>
        <v/>
      </c>
      <c r="I47" s="6" t="str">
        <f t="shared" si="1"/>
        <v/>
      </c>
    </row>
    <row r="48" spans="2:9" ht="16.5" customHeight="1" x14ac:dyDescent="0.25">
      <c r="B48" s="4"/>
      <c r="C48" s="5"/>
      <c r="D48" s="5"/>
      <c r="E48" s="5"/>
      <c r="F48" s="4"/>
      <c r="G48" s="4"/>
      <c r="H48" s="4" t="str">
        <f>IF(B48="","",SUMPRODUCT((Movimientos!E$9:E$508=B48)*(Movimientos!C$9:C$508&lt;&gt;"Salida")*Movimientos!H$9:H$508)-SUMPRODUCT((Movimientos!E$9:E$508=B48)*(Movimientos!C$9:C$508="Salida")*Movimientos!H$9:H$508))</f>
        <v/>
      </c>
      <c r="I48" s="4" t="str">
        <f t="shared" si="1"/>
        <v/>
      </c>
    </row>
    <row r="49" spans="2:9" ht="16.5" customHeight="1" x14ac:dyDescent="0.25">
      <c r="B49" s="6"/>
      <c r="C49" s="7"/>
      <c r="D49" s="7"/>
      <c r="E49" s="7"/>
      <c r="F49" s="6"/>
      <c r="G49" s="6"/>
      <c r="H49" s="6" t="str">
        <f>IF(B49="","",SUMPRODUCT((Movimientos!E$9:E$508=B49)*(Movimientos!C$9:C$508&lt;&gt;"Salida")*Movimientos!H$9:H$508)-SUMPRODUCT((Movimientos!E$9:E$508=B49)*(Movimientos!C$9:C$508="Salida")*Movimientos!H$9:H$508))</f>
        <v/>
      </c>
      <c r="I49" s="6" t="str">
        <f t="shared" si="1"/>
        <v/>
      </c>
    </row>
    <row r="50" spans="2:9" ht="16.5" customHeight="1" x14ac:dyDescent="0.25">
      <c r="B50" s="4"/>
      <c r="C50" s="5"/>
      <c r="D50" s="5"/>
      <c r="E50" s="5"/>
      <c r="F50" s="4"/>
      <c r="G50" s="4"/>
      <c r="H50" s="4" t="str">
        <f>IF(B50="","",SUMPRODUCT((Movimientos!E$9:E$508=B50)*(Movimientos!C$9:C$508&lt;&gt;"Salida")*Movimientos!H$9:H$508)-SUMPRODUCT((Movimientos!E$9:E$508=B50)*(Movimientos!C$9:C$508="Salida")*Movimientos!H$9:H$508))</f>
        <v/>
      </c>
      <c r="I50" s="4" t="str">
        <f t="shared" si="1"/>
        <v/>
      </c>
    </row>
    <row r="51" spans="2:9" ht="16.5" customHeight="1" x14ac:dyDescent="0.25">
      <c r="B51" s="6"/>
      <c r="C51" s="7"/>
      <c r="D51" s="7"/>
      <c r="E51" s="7"/>
      <c r="F51" s="6"/>
      <c r="G51" s="6"/>
      <c r="H51" s="6" t="str">
        <f>IF(B51="","",SUMPRODUCT((Movimientos!E$9:E$508=B51)*(Movimientos!C$9:C$508&lt;&gt;"Salida")*Movimientos!H$9:H$508)-SUMPRODUCT((Movimientos!E$9:E$508=B51)*(Movimientos!C$9:C$508="Salida")*Movimientos!H$9:H$508))</f>
        <v/>
      </c>
      <c r="I51" s="6" t="str">
        <f t="shared" si="1"/>
        <v/>
      </c>
    </row>
    <row r="52" spans="2:9" ht="16.5" customHeight="1" x14ac:dyDescent="0.25">
      <c r="B52" s="4"/>
      <c r="C52" s="5"/>
      <c r="D52" s="5"/>
      <c r="E52" s="5"/>
      <c r="F52" s="4"/>
      <c r="G52" s="4"/>
      <c r="H52" s="4" t="str">
        <f>IF(B52="","",SUMPRODUCT((Movimientos!E$9:E$508=B52)*(Movimientos!C$9:C$508&lt;&gt;"Salida")*Movimientos!H$9:H$508)-SUMPRODUCT((Movimientos!E$9:E$508=B52)*(Movimientos!C$9:C$508="Salida")*Movimientos!H$9:H$508))</f>
        <v/>
      </c>
      <c r="I52" s="4" t="str">
        <f t="shared" si="1"/>
        <v/>
      </c>
    </row>
    <row r="53" spans="2:9" ht="16.5" customHeight="1" x14ac:dyDescent="0.25">
      <c r="B53" s="6"/>
      <c r="C53" s="7"/>
      <c r="D53" s="7"/>
      <c r="E53" s="7"/>
      <c r="F53" s="6"/>
      <c r="G53" s="6"/>
      <c r="H53" s="6" t="str">
        <f>IF(B53="","",SUMPRODUCT((Movimientos!E$9:E$508=B53)*(Movimientos!C$9:C$508&lt;&gt;"Salida")*Movimientos!H$9:H$508)-SUMPRODUCT((Movimientos!E$9:E$508=B53)*(Movimientos!C$9:C$508="Salida")*Movimientos!H$9:H$508))</f>
        <v/>
      </c>
      <c r="I53" s="6" t="str">
        <f t="shared" si="1"/>
        <v/>
      </c>
    </row>
    <row r="54" spans="2:9" ht="16.5" customHeight="1" x14ac:dyDescent="0.25">
      <c r="B54" s="4"/>
      <c r="C54" s="5"/>
      <c r="D54" s="5"/>
      <c r="E54" s="5"/>
      <c r="F54" s="4"/>
      <c r="G54" s="4"/>
      <c r="H54" s="4" t="str">
        <f>IF(B54="","",SUMPRODUCT((Movimientos!E$9:E$508=B54)*(Movimientos!C$9:C$508&lt;&gt;"Salida")*Movimientos!H$9:H$508)-SUMPRODUCT((Movimientos!E$9:E$508=B54)*(Movimientos!C$9:C$508="Salida")*Movimientos!H$9:H$508))</f>
        <v/>
      </c>
      <c r="I54" s="4" t="str">
        <f t="shared" si="1"/>
        <v/>
      </c>
    </row>
    <row r="55" spans="2:9" ht="16.5" customHeight="1" x14ac:dyDescent="0.25">
      <c r="B55" s="6"/>
      <c r="C55" s="7"/>
      <c r="D55" s="7"/>
      <c r="E55" s="7"/>
      <c r="F55" s="6"/>
      <c r="G55" s="6"/>
      <c r="H55" s="6" t="str">
        <f>IF(B55="","",SUMPRODUCT((Movimientos!E$9:E$508=B55)*(Movimientos!C$9:C$508&lt;&gt;"Salida")*Movimientos!H$9:H$508)-SUMPRODUCT((Movimientos!E$9:E$508=B55)*(Movimientos!C$9:C$508="Salida")*Movimientos!H$9:H$508))</f>
        <v/>
      </c>
      <c r="I55" s="6" t="str">
        <f t="shared" si="1"/>
        <v/>
      </c>
    </row>
    <row r="56" spans="2:9" ht="16.5" customHeight="1" x14ac:dyDescent="0.25">
      <c r="B56" s="4"/>
      <c r="C56" s="5"/>
      <c r="D56" s="5"/>
      <c r="E56" s="5"/>
      <c r="F56" s="4"/>
      <c r="G56" s="4"/>
      <c r="H56" s="4" t="str">
        <f>IF(B56="","",SUMPRODUCT((Movimientos!E$9:E$508=B56)*(Movimientos!C$9:C$508&lt;&gt;"Salida")*Movimientos!H$9:H$508)-SUMPRODUCT((Movimientos!E$9:E$508=B56)*(Movimientos!C$9:C$508="Salida")*Movimientos!H$9:H$508))</f>
        <v/>
      </c>
      <c r="I56" s="4" t="str">
        <f t="shared" si="1"/>
        <v/>
      </c>
    </row>
    <row r="57" spans="2:9" ht="16.5" customHeight="1" x14ac:dyDescent="0.25">
      <c r="B57" s="6"/>
      <c r="C57" s="7"/>
      <c r="D57" s="7"/>
      <c r="E57" s="7"/>
      <c r="F57" s="6"/>
      <c r="G57" s="6"/>
      <c r="H57" s="6" t="str">
        <f>IF(B57="","",SUMPRODUCT((Movimientos!E$9:E$508=B57)*(Movimientos!C$9:C$508&lt;&gt;"Salida")*Movimientos!H$9:H$508)-SUMPRODUCT((Movimientos!E$9:E$508=B57)*(Movimientos!C$9:C$508="Salida")*Movimientos!H$9:H$508))</f>
        <v/>
      </c>
      <c r="I57" s="6" t="str">
        <f t="shared" si="1"/>
        <v/>
      </c>
    </row>
    <row r="58" spans="2:9" ht="16.5" customHeight="1" x14ac:dyDescent="0.25">
      <c r="B58" s="4"/>
      <c r="C58" s="5"/>
      <c r="D58" s="5"/>
      <c r="E58" s="5"/>
      <c r="F58" s="4"/>
      <c r="G58" s="4"/>
      <c r="H58" s="4" t="str">
        <f>IF(B58="","",SUMPRODUCT((Movimientos!E$9:E$508=B58)*(Movimientos!C$9:C$508&lt;&gt;"Salida")*Movimientos!H$9:H$508)-SUMPRODUCT((Movimientos!E$9:E$508=B58)*(Movimientos!C$9:C$508="Salida")*Movimientos!H$9:H$508))</f>
        <v/>
      </c>
      <c r="I58" s="4" t="str">
        <f t="shared" si="1"/>
        <v/>
      </c>
    </row>
    <row r="59" spans="2:9" ht="16.5" customHeight="1" x14ac:dyDescent="0.25">
      <c r="B59" s="6"/>
      <c r="C59" s="7"/>
      <c r="D59" s="7"/>
      <c r="E59" s="7"/>
      <c r="F59" s="6"/>
      <c r="G59" s="6"/>
      <c r="H59" s="6" t="str">
        <f>IF(B59="","",SUMPRODUCT((Movimientos!E$9:E$508=B59)*(Movimientos!C$9:C$508&lt;&gt;"Salida")*Movimientos!H$9:H$508)-SUMPRODUCT((Movimientos!E$9:E$508=B59)*(Movimientos!C$9:C$508="Salida")*Movimientos!H$9:H$508))</f>
        <v/>
      </c>
      <c r="I59" s="6" t="str">
        <f t="shared" si="1"/>
        <v/>
      </c>
    </row>
    <row r="60" spans="2:9" ht="16.5" customHeight="1" x14ac:dyDescent="0.25">
      <c r="B60" s="4"/>
      <c r="C60" s="5"/>
      <c r="D60" s="5"/>
      <c r="E60" s="5"/>
      <c r="F60" s="4"/>
      <c r="G60" s="4"/>
      <c r="H60" s="4" t="str">
        <f>IF(B60="","",SUMPRODUCT((Movimientos!E$9:E$508=B60)*(Movimientos!C$9:C$508&lt;&gt;"Salida")*Movimientos!H$9:H$508)-SUMPRODUCT((Movimientos!E$9:E$508=B60)*(Movimientos!C$9:C$508="Salida")*Movimientos!H$9:H$508))</f>
        <v/>
      </c>
      <c r="I60" s="4" t="str">
        <f t="shared" si="1"/>
        <v/>
      </c>
    </row>
    <row r="61" spans="2:9" ht="16.5" customHeight="1" x14ac:dyDescent="0.25">
      <c r="B61" s="6"/>
      <c r="C61" s="7"/>
      <c r="D61" s="7"/>
      <c r="E61" s="7"/>
      <c r="F61" s="6"/>
      <c r="G61" s="6"/>
      <c r="H61" s="6" t="str">
        <f>IF(B61="","",SUMPRODUCT((Movimientos!E$9:E$508=B61)*(Movimientos!C$9:C$508&lt;&gt;"Salida")*Movimientos!H$9:H$508)-SUMPRODUCT((Movimientos!E$9:E$508=B61)*(Movimientos!C$9:C$508="Salida")*Movimientos!H$9:H$508))</f>
        <v/>
      </c>
      <c r="I61" s="6" t="str">
        <f t="shared" si="1"/>
        <v/>
      </c>
    </row>
    <row r="62" spans="2:9" ht="16.5" customHeight="1" x14ac:dyDescent="0.25">
      <c r="B62" s="4"/>
      <c r="C62" s="5"/>
      <c r="D62" s="5"/>
      <c r="E62" s="5"/>
      <c r="F62" s="4"/>
      <c r="G62" s="4"/>
      <c r="H62" s="4" t="str">
        <f>IF(B62="","",SUMPRODUCT((Movimientos!E$9:E$508=B62)*(Movimientos!C$9:C$508&lt;&gt;"Salida")*Movimientos!H$9:H$508)-SUMPRODUCT((Movimientos!E$9:E$508=B62)*(Movimientos!C$9:C$508="Salida")*Movimientos!H$9:H$508))</f>
        <v/>
      </c>
      <c r="I62" s="4" t="str">
        <f t="shared" si="1"/>
        <v/>
      </c>
    </row>
    <row r="63" spans="2:9" ht="16.5" customHeight="1" x14ac:dyDescent="0.25">
      <c r="B63" s="6"/>
      <c r="C63" s="7"/>
      <c r="D63" s="7"/>
      <c r="E63" s="7"/>
      <c r="F63" s="6"/>
      <c r="G63" s="6"/>
      <c r="H63" s="6" t="str">
        <f>IF(B63="","",SUMPRODUCT((Movimientos!E$9:E$508=B63)*(Movimientos!C$9:C$508&lt;&gt;"Salida")*Movimientos!H$9:H$508)-SUMPRODUCT((Movimientos!E$9:E$508=B63)*(Movimientos!C$9:C$508="Salida")*Movimientos!H$9:H$508))</f>
        <v/>
      </c>
      <c r="I63" s="6" t="str">
        <f t="shared" si="1"/>
        <v/>
      </c>
    </row>
    <row r="64" spans="2:9" ht="16.5" customHeight="1" x14ac:dyDescent="0.25">
      <c r="B64" s="4"/>
      <c r="C64" s="5"/>
      <c r="D64" s="5"/>
      <c r="E64" s="5"/>
      <c r="F64" s="4"/>
      <c r="G64" s="4"/>
      <c r="H64" s="4" t="str">
        <f>IF(B64="","",SUMPRODUCT((Movimientos!E$9:E$508=B64)*(Movimientos!C$9:C$508&lt;&gt;"Salida")*Movimientos!H$9:H$508)-SUMPRODUCT((Movimientos!E$9:E$508=B64)*(Movimientos!C$9:C$508="Salida")*Movimientos!H$9:H$508))</f>
        <v/>
      </c>
      <c r="I64" s="4" t="str">
        <f t="shared" si="1"/>
        <v/>
      </c>
    </row>
    <row r="65" spans="2:9" ht="16.5" customHeight="1" x14ac:dyDescent="0.25">
      <c r="B65" s="6"/>
      <c r="C65" s="7"/>
      <c r="D65" s="7"/>
      <c r="E65" s="7"/>
      <c r="F65" s="6"/>
      <c r="G65" s="6"/>
      <c r="H65" s="6" t="str">
        <f>IF(B65="","",SUMPRODUCT((Movimientos!E$9:E$508=B65)*(Movimientos!C$9:C$508&lt;&gt;"Salida")*Movimientos!H$9:H$508)-SUMPRODUCT((Movimientos!E$9:E$508=B65)*(Movimientos!C$9:C$508="Salida")*Movimientos!H$9:H$508))</f>
        <v/>
      </c>
      <c r="I65" s="6" t="str">
        <f t="shared" si="1"/>
        <v/>
      </c>
    </row>
    <row r="66" spans="2:9" ht="16.5" customHeight="1" x14ac:dyDescent="0.25">
      <c r="B66" s="4"/>
      <c r="C66" s="5"/>
      <c r="D66" s="5"/>
      <c r="E66" s="5"/>
      <c r="F66" s="4"/>
      <c r="G66" s="4"/>
      <c r="H66" s="4" t="str">
        <f>IF(B66="","",SUMPRODUCT((Movimientos!E$9:E$508=B66)*(Movimientos!C$9:C$508&lt;&gt;"Salida")*Movimientos!H$9:H$508)-SUMPRODUCT((Movimientos!E$9:E$508=B66)*(Movimientos!C$9:C$508="Salida")*Movimientos!H$9:H$508))</f>
        <v/>
      </c>
      <c r="I66" s="4" t="str">
        <f t="shared" si="1"/>
        <v/>
      </c>
    </row>
    <row r="67" spans="2:9" ht="16.5" customHeight="1" x14ac:dyDescent="0.25">
      <c r="B67" s="6"/>
      <c r="C67" s="7"/>
      <c r="D67" s="7"/>
      <c r="E67" s="7"/>
      <c r="F67" s="6"/>
      <c r="G67" s="6"/>
      <c r="H67" s="6" t="str">
        <f>IF(B67="","",SUMPRODUCT((Movimientos!E$9:E$508=B67)*(Movimientos!C$9:C$508&lt;&gt;"Salida")*Movimientos!H$9:H$508)-SUMPRODUCT((Movimientos!E$9:E$508=B67)*(Movimientos!C$9:C$508="Salida")*Movimientos!H$9:H$508))</f>
        <v/>
      </c>
      <c r="I67" s="6" t="str">
        <f t="shared" si="1"/>
        <v/>
      </c>
    </row>
    <row r="68" spans="2:9" ht="16.5" customHeight="1" x14ac:dyDescent="0.25">
      <c r="B68" s="4"/>
      <c r="C68" s="5"/>
      <c r="D68" s="5"/>
      <c r="E68" s="5"/>
      <c r="F68" s="4"/>
      <c r="G68" s="4"/>
      <c r="H68" s="4" t="str">
        <f>IF(B68="","",SUMPRODUCT((Movimientos!E$9:E$508=B68)*(Movimientos!C$9:C$508&lt;&gt;"Salida")*Movimientos!H$9:H$508)-SUMPRODUCT((Movimientos!E$9:E$508=B68)*(Movimientos!C$9:C$508="Salida")*Movimientos!H$9:H$508))</f>
        <v/>
      </c>
      <c r="I68" s="4" t="str">
        <f t="shared" si="1"/>
        <v/>
      </c>
    </row>
    <row r="69" spans="2:9" ht="16.5" customHeight="1" x14ac:dyDescent="0.25">
      <c r="B69" s="6"/>
      <c r="C69" s="7"/>
      <c r="D69" s="7"/>
      <c r="E69" s="7"/>
      <c r="F69" s="6"/>
      <c r="G69" s="6"/>
      <c r="H69" s="6" t="str">
        <f>IF(B69="","",SUMPRODUCT((Movimientos!E$9:E$508=B69)*(Movimientos!C$9:C$508&lt;&gt;"Salida")*Movimientos!H$9:H$508)-SUMPRODUCT((Movimientos!E$9:E$508=B69)*(Movimientos!C$9:C$508="Salida")*Movimientos!H$9:H$508))</f>
        <v/>
      </c>
      <c r="I69" s="6" t="str">
        <f t="shared" si="1"/>
        <v/>
      </c>
    </row>
    <row r="70" spans="2:9" ht="16.5" customHeight="1" x14ac:dyDescent="0.25">
      <c r="B70" s="4"/>
      <c r="C70" s="5"/>
      <c r="D70" s="5"/>
      <c r="E70" s="5"/>
      <c r="F70" s="4"/>
      <c r="G70" s="4"/>
      <c r="H70" s="4" t="str">
        <f>IF(B70="","",SUMPRODUCT((Movimientos!E$9:E$508=B70)*(Movimientos!C$9:C$508&lt;&gt;"Salida")*Movimientos!H$9:H$508)-SUMPRODUCT((Movimientos!E$9:E$508=B70)*(Movimientos!C$9:C$508="Salida")*Movimientos!H$9:H$508))</f>
        <v/>
      </c>
      <c r="I70" s="4" t="str">
        <f t="shared" si="1"/>
        <v/>
      </c>
    </row>
    <row r="71" spans="2:9" ht="16.5" customHeight="1" x14ac:dyDescent="0.25">
      <c r="B71" s="6"/>
      <c r="C71" s="7"/>
      <c r="D71" s="7"/>
      <c r="E71" s="7"/>
      <c r="F71" s="6"/>
      <c r="G71" s="6"/>
      <c r="H71" s="6" t="str">
        <f>IF(B71="","",SUMPRODUCT((Movimientos!E$9:E$508=B71)*(Movimientos!C$9:C$508&lt;&gt;"Salida")*Movimientos!H$9:H$508)-SUMPRODUCT((Movimientos!E$9:E$508=B71)*(Movimientos!C$9:C$508="Salida")*Movimientos!H$9:H$508))</f>
        <v/>
      </c>
      <c r="I71" s="6" t="str">
        <f t="shared" si="1"/>
        <v/>
      </c>
    </row>
    <row r="72" spans="2:9" ht="16.5" customHeight="1" x14ac:dyDescent="0.25">
      <c r="B72" s="4"/>
      <c r="C72" s="5"/>
      <c r="D72" s="5"/>
      <c r="E72" s="5"/>
      <c r="F72" s="4"/>
      <c r="G72" s="4"/>
      <c r="H72" s="4" t="str">
        <f>IF(B72="","",SUMPRODUCT((Movimientos!E$9:E$508=B72)*(Movimientos!C$9:C$508&lt;&gt;"Salida")*Movimientos!H$9:H$508)-SUMPRODUCT((Movimientos!E$9:E$508=B72)*(Movimientos!C$9:C$508="Salida")*Movimientos!H$9:H$508))</f>
        <v/>
      </c>
      <c r="I72" s="4" t="str">
        <f t="shared" si="1"/>
        <v/>
      </c>
    </row>
    <row r="73" spans="2:9" ht="16.5" customHeight="1" x14ac:dyDescent="0.25">
      <c r="B73" s="6"/>
      <c r="C73" s="7"/>
      <c r="D73" s="7"/>
      <c r="E73" s="7"/>
      <c r="F73" s="6"/>
      <c r="G73" s="6"/>
      <c r="H73" s="6" t="str">
        <f>IF(B73="","",SUMPRODUCT((Movimientos!E$9:E$508=B73)*(Movimientos!C$9:C$508&lt;&gt;"Salida")*Movimientos!H$9:H$508)-SUMPRODUCT((Movimientos!E$9:E$508=B73)*(Movimientos!C$9:C$508="Salida")*Movimientos!H$9:H$508))</f>
        <v/>
      </c>
      <c r="I73" s="6" t="str">
        <f t="shared" si="1"/>
        <v/>
      </c>
    </row>
    <row r="74" spans="2:9" ht="16.5" customHeight="1" x14ac:dyDescent="0.25">
      <c r="B74" s="4"/>
      <c r="C74" s="5"/>
      <c r="D74" s="5"/>
      <c r="E74" s="5"/>
      <c r="F74" s="4"/>
      <c r="G74" s="4"/>
      <c r="H74" s="4" t="str">
        <f>IF(B74="","",SUMPRODUCT((Movimientos!E$9:E$508=B74)*(Movimientos!C$9:C$508&lt;&gt;"Salida")*Movimientos!H$9:H$508)-SUMPRODUCT((Movimientos!E$9:E$508=B74)*(Movimientos!C$9:C$508="Salida")*Movimientos!H$9:H$508))</f>
        <v/>
      </c>
      <c r="I74" s="4" t="str">
        <f t="shared" ref="I74:I105" si="2">IF(B74="","",IF(H74=0,"AGOTADO",IF(H74&lt;=G74,"STOCK BAJO","CON STOCK")))</f>
        <v/>
      </c>
    </row>
    <row r="75" spans="2:9" ht="16.5" customHeight="1" x14ac:dyDescent="0.25">
      <c r="B75" s="6"/>
      <c r="C75" s="7"/>
      <c r="D75" s="7"/>
      <c r="E75" s="7"/>
      <c r="F75" s="6"/>
      <c r="G75" s="6"/>
      <c r="H75" s="6" t="str">
        <f>IF(B75="","",SUMPRODUCT((Movimientos!E$9:E$508=B75)*(Movimientos!C$9:C$508&lt;&gt;"Salida")*Movimientos!H$9:H$508)-SUMPRODUCT((Movimientos!E$9:E$508=B75)*(Movimientos!C$9:C$508="Salida")*Movimientos!H$9:H$508))</f>
        <v/>
      </c>
      <c r="I75" s="6" t="str">
        <f t="shared" si="2"/>
        <v/>
      </c>
    </row>
    <row r="76" spans="2:9" ht="16.5" customHeight="1" x14ac:dyDescent="0.25">
      <c r="B76" s="4"/>
      <c r="C76" s="5"/>
      <c r="D76" s="5"/>
      <c r="E76" s="5"/>
      <c r="F76" s="4"/>
      <c r="G76" s="4"/>
      <c r="H76" s="4" t="str">
        <f>IF(B76="","",SUMPRODUCT((Movimientos!E$9:E$508=B76)*(Movimientos!C$9:C$508&lt;&gt;"Salida")*Movimientos!H$9:H$508)-SUMPRODUCT((Movimientos!E$9:E$508=B76)*(Movimientos!C$9:C$508="Salida")*Movimientos!H$9:H$508))</f>
        <v/>
      </c>
      <c r="I76" s="4" t="str">
        <f t="shared" si="2"/>
        <v/>
      </c>
    </row>
    <row r="77" spans="2:9" ht="16.5" customHeight="1" x14ac:dyDescent="0.25">
      <c r="B77" s="6"/>
      <c r="C77" s="7"/>
      <c r="D77" s="7"/>
      <c r="E77" s="7"/>
      <c r="F77" s="6"/>
      <c r="G77" s="6"/>
      <c r="H77" s="6" t="str">
        <f>IF(B77="","",SUMPRODUCT((Movimientos!E$9:E$508=B77)*(Movimientos!C$9:C$508&lt;&gt;"Salida")*Movimientos!H$9:H$508)-SUMPRODUCT((Movimientos!E$9:E$508=B77)*(Movimientos!C$9:C$508="Salida")*Movimientos!H$9:H$508))</f>
        <v/>
      </c>
      <c r="I77" s="6" t="str">
        <f t="shared" si="2"/>
        <v/>
      </c>
    </row>
    <row r="78" spans="2:9" ht="16.5" customHeight="1" x14ac:dyDescent="0.25">
      <c r="B78" s="4"/>
      <c r="C78" s="5"/>
      <c r="D78" s="5"/>
      <c r="E78" s="5"/>
      <c r="F78" s="4"/>
      <c r="G78" s="4"/>
      <c r="H78" s="4" t="str">
        <f>IF(B78="","",SUMPRODUCT((Movimientos!E$9:E$508=B78)*(Movimientos!C$9:C$508&lt;&gt;"Salida")*Movimientos!H$9:H$508)-SUMPRODUCT((Movimientos!E$9:E$508=B78)*(Movimientos!C$9:C$508="Salida")*Movimientos!H$9:H$508))</f>
        <v/>
      </c>
      <c r="I78" s="4" t="str">
        <f t="shared" si="2"/>
        <v/>
      </c>
    </row>
    <row r="79" spans="2:9" ht="16.5" customHeight="1" x14ac:dyDescent="0.25">
      <c r="B79" s="6"/>
      <c r="C79" s="7"/>
      <c r="D79" s="7"/>
      <c r="E79" s="7"/>
      <c r="F79" s="6"/>
      <c r="G79" s="6"/>
      <c r="H79" s="6" t="str">
        <f>IF(B79="","",SUMPRODUCT((Movimientos!E$9:E$508=B79)*(Movimientos!C$9:C$508&lt;&gt;"Salida")*Movimientos!H$9:H$508)-SUMPRODUCT((Movimientos!E$9:E$508=B79)*(Movimientos!C$9:C$508="Salida")*Movimientos!H$9:H$508))</f>
        <v/>
      </c>
      <c r="I79" s="6" t="str">
        <f t="shared" si="2"/>
        <v/>
      </c>
    </row>
    <row r="80" spans="2:9" ht="16.5" customHeight="1" x14ac:dyDescent="0.25">
      <c r="B80" s="4"/>
      <c r="C80" s="5"/>
      <c r="D80" s="5"/>
      <c r="E80" s="5"/>
      <c r="F80" s="4"/>
      <c r="G80" s="4"/>
      <c r="H80" s="4" t="str">
        <f>IF(B80="","",SUMPRODUCT((Movimientos!E$9:E$508=B80)*(Movimientos!C$9:C$508&lt;&gt;"Salida")*Movimientos!H$9:H$508)-SUMPRODUCT((Movimientos!E$9:E$508=B80)*(Movimientos!C$9:C$508="Salida")*Movimientos!H$9:H$508))</f>
        <v/>
      </c>
      <c r="I80" s="4" t="str">
        <f t="shared" si="2"/>
        <v/>
      </c>
    </row>
    <row r="81" spans="2:9" ht="16.5" customHeight="1" x14ac:dyDescent="0.25">
      <c r="B81" s="6"/>
      <c r="C81" s="7"/>
      <c r="D81" s="7"/>
      <c r="E81" s="7"/>
      <c r="F81" s="6"/>
      <c r="G81" s="6"/>
      <c r="H81" s="6" t="str">
        <f>IF(B81="","",SUMPRODUCT((Movimientos!E$9:E$508=B81)*(Movimientos!C$9:C$508&lt;&gt;"Salida")*Movimientos!H$9:H$508)-SUMPRODUCT((Movimientos!E$9:E$508=B81)*(Movimientos!C$9:C$508="Salida")*Movimientos!H$9:H$508))</f>
        <v/>
      </c>
      <c r="I81" s="6" t="str">
        <f t="shared" si="2"/>
        <v/>
      </c>
    </row>
    <row r="82" spans="2:9" ht="16.5" customHeight="1" x14ac:dyDescent="0.25">
      <c r="B82" s="4"/>
      <c r="C82" s="5"/>
      <c r="D82" s="5"/>
      <c r="E82" s="5"/>
      <c r="F82" s="4"/>
      <c r="G82" s="4"/>
      <c r="H82" s="4" t="str">
        <f>IF(B82="","",SUMPRODUCT((Movimientos!E$9:E$508=B82)*(Movimientos!C$9:C$508&lt;&gt;"Salida")*Movimientos!H$9:H$508)-SUMPRODUCT((Movimientos!E$9:E$508=B82)*(Movimientos!C$9:C$508="Salida")*Movimientos!H$9:H$508))</f>
        <v/>
      </c>
      <c r="I82" s="4" t="str">
        <f t="shared" si="2"/>
        <v/>
      </c>
    </row>
    <row r="83" spans="2:9" ht="16.5" customHeight="1" x14ac:dyDescent="0.25">
      <c r="B83" s="6"/>
      <c r="C83" s="7"/>
      <c r="D83" s="7"/>
      <c r="E83" s="7"/>
      <c r="F83" s="6"/>
      <c r="G83" s="6"/>
      <c r="H83" s="6" t="str">
        <f>IF(B83="","",SUMPRODUCT((Movimientos!E$9:E$508=B83)*(Movimientos!C$9:C$508&lt;&gt;"Salida")*Movimientos!H$9:H$508)-SUMPRODUCT((Movimientos!E$9:E$508=B83)*(Movimientos!C$9:C$508="Salida")*Movimientos!H$9:H$508))</f>
        <v/>
      </c>
      <c r="I83" s="6" t="str">
        <f t="shared" si="2"/>
        <v/>
      </c>
    </row>
    <row r="84" spans="2:9" ht="16.5" customHeight="1" x14ac:dyDescent="0.25">
      <c r="B84" s="4"/>
      <c r="C84" s="5"/>
      <c r="D84" s="5"/>
      <c r="E84" s="5"/>
      <c r="F84" s="4"/>
      <c r="G84" s="4"/>
      <c r="H84" s="4" t="str">
        <f>IF(B84="","",SUMPRODUCT((Movimientos!E$9:E$508=B84)*(Movimientos!C$9:C$508&lt;&gt;"Salida")*Movimientos!H$9:H$508)-SUMPRODUCT((Movimientos!E$9:E$508=B84)*(Movimientos!C$9:C$508="Salida")*Movimientos!H$9:H$508))</f>
        <v/>
      </c>
      <c r="I84" s="4" t="str">
        <f t="shared" si="2"/>
        <v/>
      </c>
    </row>
    <row r="85" spans="2:9" ht="16.5" customHeight="1" x14ac:dyDescent="0.25">
      <c r="B85" s="6"/>
      <c r="C85" s="7"/>
      <c r="D85" s="7"/>
      <c r="E85" s="7"/>
      <c r="F85" s="6"/>
      <c r="G85" s="6"/>
      <c r="H85" s="6" t="str">
        <f>IF(B85="","",SUMPRODUCT((Movimientos!E$9:E$508=B85)*(Movimientos!C$9:C$508&lt;&gt;"Salida")*Movimientos!H$9:H$508)-SUMPRODUCT((Movimientos!E$9:E$508=B85)*(Movimientos!C$9:C$508="Salida")*Movimientos!H$9:H$508))</f>
        <v/>
      </c>
      <c r="I85" s="6" t="str">
        <f t="shared" si="2"/>
        <v/>
      </c>
    </row>
    <row r="86" spans="2:9" ht="16.5" customHeight="1" x14ac:dyDescent="0.25">
      <c r="B86" s="4"/>
      <c r="C86" s="5"/>
      <c r="D86" s="5"/>
      <c r="E86" s="5"/>
      <c r="F86" s="4"/>
      <c r="G86" s="4"/>
      <c r="H86" s="4" t="str">
        <f>IF(B86="","",SUMPRODUCT((Movimientos!E$9:E$508=B86)*(Movimientos!C$9:C$508&lt;&gt;"Salida")*Movimientos!H$9:H$508)-SUMPRODUCT((Movimientos!E$9:E$508=B86)*(Movimientos!C$9:C$508="Salida")*Movimientos!H$9:H$508))</f>
        <v/>
      </c>
      <c r="I86" s="4" t="str">
        <f t="shared" si="2"/>
        <v/>
      </c>
    </row>
    <row r="87" spans="2:9" ht="16.5" customHeight="1" x14ac:dyDescent="0.25">
      <c r="B87" s="6"/>
      <c r="C87" s="7"/>
      <c r="D87" s="7"/>
      <c r="E87" s="7"/>
      <c r="F87" s="6"/>
      <c r="G87" s="6"/>
      <c r="H87" s="6" t="str">
        <f>IF(B87="","",SUMPRODUCT((Movimientos!E$9:E$508=B87)*(Movimientos!C$9:C$508&lt;&gt;"Salida")*Movimientos!H$9:H$508)-SUMPRODUCT((Movimientos!E$9:E$508=B87)*(Movimientos!C$9:C$508="Salida")*Movimientos!H$9:H$508))</f>
        <v/>
      </c>
      <c r="I87" s="6" t="str">
        <f t="shared" si="2"/>
        <v/>
      </c>
    </row>
    <row r="88" spans="2:9" ht="16.5" customHeight="1" x14ac:dyDescent="0.25">
      <c r="B88" s="4"/>
      <c r="C88" s="5"/>
      <c r="D88" s="5"/>
      <c r="E88" s="5"/>
      <c r="F88" s="4"/>
      <c r="G88" s="4"/>
      <c r="H88" s="4" t="str">
        <f>IF(B88="","",SUMPRODUCT((Movimientos!E$9:E$508=B88)*(Movimientos!C$9:C$508&lt;&gt;"Salida")*Movimientos!H$9:H$508)-SUMPRODUCT((Movimientos!E$9:E$508=B88)*(Movimientos!C$9:C$508="Salida")*Movimientos!H$9:H$508))</f>
        <v/>
      </c>
      <c r="I88" s="4" t="str">
        <f t="shared" si="2"/>
        <v/>
      </c>
    </row>
    <row r="89" spans="2:9" ht="16.5" customHeight="1" x14ac:dyDescent="0.25">
      <c r="B89" s="6"/>
      <c r="C89" s="7"/>
      <c r="D89" s="7"/>
      <c r="E89" s="7"/>
      <c r="F89" s="6"/>
      <c r="G89" s="6"/>
      <c r="H89" s="6" t="str">
        <f>IF(B89="","",SUMPRODUCT((Movimientos!E$9:E$508=B89)*(Movimientos!C$9:C$508&lt;&gt;"Salida")*Movimientos!H$9:H$508)-SUMPRODUCT((Movimientos!E$9:E$508=B89)*(Movimientos!C$9:C$508="Salida")*Movimientos!H$9:H$508))</f>
        <v/>
      </c>
      <c r="I89" s="6" t="str">
        <f t="shared" si="2"/>
        <v/>
      </c>
    </row>
    <row r="90" spans="2:9" ht="16.5" customHeight="1" x14ac:dyDescent="0.25">
      <c r="B90" s="4"/>
      <c r="C90" s="5"/>
      <c r="D90" s="5"/>
      <c r="E90" s="5"/>
      <c r="F90" s="4"/>
      <c r="G90" s="4"/>
      <c r="H90" s="4" t="str">
        <f>IF(B90="","",SUMPRODUCT((Movimientos!E$9:E$508=B90)*(Movimientos!C$9:C$508&lt;&gt;"Salida")*Movimientos!H$9:H$508)-SUMPRODUCT((Movimientos!E$9:E$508=B90)*(Movimientos!C$9:C$508="Salida")*Movimientos!H$9:H$508))</f>
        <v/>
      </c>
      <c r="I90" s="4" t="str">
        <f t="shared" si="2"/>
        <v/>
      </c>
    </row>
    <row r="91" spans="2:9" ht="16.5" customHeight="1" x14ac:dyDescent="0.25">
      <c r="B91" s="6"/>
      <c r="C91" s="7"/>
      <c r="D91" s="7"/>
      <c r="E91" s="7"/>
      <c r="F91" s="6"/>
      <c r="G91" s="6"/>
      <c r="H91" s="6" t="str">
        <f>IF(B91="","",SUMPRODUCT((Movimientos!E$9:E$508=B91)*(Movimientos!C$9:C$508&lt;&gt;"Salida")*Movimientos!H$9:H$508)-SUMPRODUCT((Movimientos!E$9:E$508=B91)*(Movimientos!C$9:C$508="Salida")*Movimientos!H$9:H$508))</f>
        <v/>
      </c>
      <c r="I91" s="6" t="str">
        <f t="shared" si="2"/>
        <v/>
      </c>
    </row>
    <row r="92" spans="2:9" ht="16.5" customHeight="1" x14ac:dyDescent="0.25">
      <c r="B92" s="4"/>
      <c r="C92" s="5"/>
      <c r="D92" s="5"/>
      <c r="E92" s="5"/>
      <c r="F92" s="4"/>
      <c r="G92" s="4"/>
      <c r="H92" s="4" t="str">
        <f>IF(B92="","",SUMPRODUCT((Movimientos!E$9:E$508=B92)*(Movimientos!C$9:C$508&lt;&gt;"Salida")*Movimientos!H$9:H$508)-SUMPRODUCT((Movimientos!E$9:E$508=B92)*(Movimientos!C$9:C$508="Salida")*Movimientos!H$9:H$508))</f>
        <v/>
      </c>
      <c r="I92" s="4" t="str">
        <f t="shared" si="2"/>
        <v/>
      </c>
    </row>
    <row r="93" spans="2:9" ht="16.5" customHeight="1" x14ac:dyDescent="0.25">
      <c r="B93" s="6"/>
      <c r="C93" s="7"/>
      <c r="D93" s="7"/>
      <c r="E93" s="7"/>
      <c r="F93" s="6"/>
      <c r="G93" s="6"/>
      <c r="H93" s="6" t="str">
        <f>IF(B93="","",SUMPRODUCT((Movimientos!E$9:E$508=B93)*(Movimientos!C$9:C$508&lt;&gt;"Salida")*Movimientos!H$9:H$508)-SUMPRODUCT((Movimientos!E$9:E$508=B93)*(Movimientos!C$9:C$508="Salida")*Movimientos!H$9:H$508))</f>
        <v/>
      </c>
      <c r="I93" s="6" t="str">
        <f t="shared" si="2"/>
        <v/>
      </c>
    </row>
    <row r="94" spans="2:9" ht="16.5" customHeight="1" x14ac:dyDescent="0.25">
      <c r="B94" s="4"/>
      <c r="C94" s="5"/>
      <c r="D94" s="5"/>
      <c r="E94" s="5"/>
      <c r="F94" s="4"/>
      <c r="G94" s="4"/>
      <c r="H94" s="4" t="str">
        <f>IF(B94="","",SUMPRODUCT((Movimientos!E$9:E$508=B94)*(Movimientos!C$9:C$508&lt;&gt;"Salida")*Movimientos!H$9:H$508)-SUMPRODUCT((Movimientos!E$9:E$508=B94)*(Movimientos!C$9:C$508="Salida")*Movimientos!H$9:H$508))</f>
        <v/>
      </c>
      <c r="I94" s="4" t="str">
        <f t="shared" si="2"/>
        <v/>
      </c>
    </row>
    <row r="95" spans="2:9" ht="16.5" customHeight="1" x14ac:dyDescent="0.25">
      <c r="B95" s="6"/>
      <c r="C95" s="7"/>
      <c r="D95" s="7"/>
      <c r="E95" s="7"/>
      <c r="F95" s="6"/>
      <c r="G95" s="6"/>
      <c r="H95" s="6" t="str">
        <f>IF(B95="","",SUMPRODUCT((Movimientos!E$9:E$508=B95)*(Movimientos!C$9:C$508&lt;&gt;"Salida")*Movimientos!H$9:H$508)-SUMPRODUCT((Movimientos!E$9:E$508=B95)*(Movimientos!C$9:C$508="Salida")*Movimientos!H$9:H$508))</f>
        <v/>
      </c>
      <c r="I95" s="6" t="str">
        <f t="shared" si="2"/>
        <v/>
      </c>
    </row>
    <row r="96" spans="2:9" ht="16.5" customHeight="1" x14ac:dyDescent="0.25">
      <c r="B96" s="4"/>
      <c r="C96" s="5"/>
      <c r="D96" s="5"/>
      <c r="E96" s="5"/>
      <c r="F96" s="4"/>
      <c r="G96" s="4"/>
      <c r="H96" s="4" t="str">
        <f>IF(B96="","",SUMPRODUCT((Movimientos!E$9:E$508=B96)*(Movimientos!C$9:C$508&lt;&gt;"Salida")*Movimientos!H$9:H$508)-SUMPRODUCT((Movimientos!E$9:E$508=B96)*(Movimientos!C$9:C$508="Salida")*Movimientos!H$9:H$508))</f>
        <v/>
      </c>
      <c r="I96" s="4" t="str">
        <f t="shared" si="2"/>
        <v/>
      </c>
    </row>
    <row r="97" spans="2:9" ht="16.5" customHeight="1" x14ac:dyDescent="0.25">
      <c r="B97" s="6"/>
      <c r="C97" s="7"/>
      <c r="D97" s="7"/>
      <c r="E97" s="7"/>
      <c r="F97" s="6"/>
      <c r="G97" s="6"/>
      <c r="H97" s="6" t="str">
        <f>IF(B97="","",SUMPRODUCT((Movimientos!E$9:E$508=B97)*(Movimientos!C$9:C$508&lt;&gt;"Salida")*Movimientos!H$9:H$508)-SUMPRODUCT((Movimientos!E$9:E$508=B97)*(Movimientos!C$9:C$508="Salida")*Movimientos!H$9:H$508))</f>
        <v/>
      </c>
      <c r="I97" s="6" t="str">
        <f t="shared" si="2"/>
        <v/>
      </c>
    </row>
    <row r="98" spans="2:9" ht="16.5" customHeight="1" x14ac:dyDescent="0.25">
      <c r="B98" s="4"/>
      <c r="C98" s="5"/>
      <c r="D98" s="5"/>
      <c r="E98" s="5"/>
      <c r="F98" s="4"/>
      <c r="G98" s="4"/>
      <c r="H98" s="4" t="str">
        <f>IF(B98="","",SUMPRODUCT((Movimientos!E$9:E$508=B98)*(Movimientos!C$9:C$508&lt;&gt;"Salida")*Movimientos!H$9:H$508)-SUMPRODUCT((Movimientos!E$9:E$508=B98)*(Movimientos!C$9:C$508="Salida")*Movimientos!H$9:H$508))</f>
        <v/>
      </c>
      <c r="I98" s="4" t="str">
        <f t="shared" si="2"/>
        <v/>
      </c>
    </row>
    <row r="99" spans="2:9" ht="16.5" customHeight="1" x14ac:dyDescent="0.25">
      <c r="B99" s="6"/>
      <c r="C99" s="7"/>
      <c r="D99" s="7"/>
      <c r="E99" s="7"/>
      <c r="F99" s="6"/>
      <c r="G99" s="6"/>
      <c r="H99" s="6" t="str">
        <f>IF(B99="","",SUMPRODUCT((Movimientos!E$9:E$508=B99)*(Movimientos!C$9:C$508&lt;&gt;"Salida")*Movimientos!H$9:H$508)-SUMPRODUCT((Movimientos!E$9:E$508=B99)*(Movimientos!C$9:C$508="Salida")*Movimientos!H$9:H$508))</f>
        <v/>
      </c>
      <c r="I99" s="6" t="str">
        <f t="shared" si="2"/>
        <v/>
      </c>
    </row>
    <row r="100" spans="2:9" ht="16.5" customHeight="1" x14ac:dyDescent="0.25">
      <c r="B100" s="4"/>
      <c r="C100" s="5"/>
      <c r="D100" s="5"/>
      <c r="E100" s="5"/>
      <c r="F100" s="4"/>
      <c r="G100" s="4"/>
      <c r="H100" s="4" t="str">
        <f>IF(B100="","",SUMPRODUCT((Movimientos!E$9:E$508=B100)*(Movimientos!C$9:C$508&lt;&gt;"Salida")*Movimientos!H$9:H$508)-SUMPRODUCT((Movimientos!E$9:E$508=B100)*(Movimientos!C$9:C$508="Salida")*Movimientos!H$9:H$508))</f>
        <v/>
      </c>
      <c r="I100" s="4" t="str">
        <f t="shared" si="2"/>
        <v/>
      </c>
    </row>
    <row r="101" spans="2:9" ht="16.5" customHeight="1" x14ac:dyDescent="0.25">
      <c r="B101" s="6"/>
      <c r="C101" s="7"/>
      <c r="D101" s="7"/>
      <c r="E101" s="7"/>
      <c r="F101" s="6"/>
      <c r="G101" s="6"/>
      <c r="H101" s="6" t="str">
        <f>IF(B101="","",SUMPRODUCT((Movimientos!E$9:E$508=B101)*(Movimientos!C$9:C$508&lt;&gt;"Salida")*Movimientos!H$9:H$508)-SUMPRODUCT((Movimientos!E$9:E$508=B101)*(Movimientos!C$9:C$508="Salida")*Movimientos!H$9:H$508))</f>
        <v/>
      </c>
      <c r="I101" s="6" t="str">
        <f t="shared" si="2"/>
        <v/>
      </c>
    </row>
    <row r="102" spans="2:9" ht="16.5" customHeight="1" x14ac:dyDescent="0.25">
      <c r="B102" s="4"/>
      <c r="C102" s="5"/>
      <c r="D102" s="5"/>
      <c r="E102" s="5"/>
      <c r="F102" s="4"/>
      <c r="G102" s="4"/>
      <c r="H102" s="4" t="str">
        <f>IF(B102="","",SUMPRODUCT((Movimientos!E$9:E$508=B102)*(Movimientos!C$9:C$508&lt;&gt;"Salida")*Movimientos!H$9:H$508)-SUMPRODUCT((Movimientos!E$9:E$508=B102)*(Movimientos!C$9:C$508="Salida")*Movimientos!H$9:H$508))</f>
        <v/>
      </c>
      <c r="I102" s="4" t="str">
        <f t="shared" si="2"/>
        <v/>
      </c>
    </row>
    <row r="103" spans="2:9" ht="16.5" customHeight="1" x14ac:dyDescent="0.25">
      <c r="B103" s="6"/>
      <c r="C103" s="7"/>
      <c r="D103" s="7"/>
      <c r="E103" s="7"/>
      <c r="F103" s="6"/>
      <c r="G103" s="6"/>
      <c r="H103" s="6" t="str">
        <f>IF(B103="","",SUMPRODUCT((Movimientos!E$9:E$508=B103)*(Movimientos!C$9:C$508&lt;&gt;"Salida")*Movimientos!H$9:H$508)-SUMPRODUCT((Movimientos!E$9:E$508=B103)*(Movimientos!C$9:C$508="Salida")*Movimientos!H$9:H$508))</f>
        <v/>
      </c>
      <c r="I103" s="6" t="str">
        <f t="shared" si="2"/>
        <v/>
      </c>
    </row>
    <row r="104" spans="2:9" ht="16.5" customHeight="1" x14ac:dyDescent="0.25">
      <c r="B104" s="4"/>
      <c r="C104" s="5"/>
      <c r="D104" s="5"/>
      <c r="E104" s="5"/>
      <c r="F104" s="4"/>
      <c r="G104" s="4"/>
      <c r="H104" s="4" t="str">
        <f>IF(B104="","",SUMPRODUCT((Movimientos!E$9:E$508=B104)*(Movimientos!C$9:C$508&lt;&gt;"Salida")*Movimientos!H$9:H$508)-SUMPRODUCT((Movimientos!E$9:E$508=B104)*(Movimientos!C$9:C$508="Salida")*Movimientos!H$9:H$508))</f>
        <v/>
      </c>
      <c r="I104" s="4" t="str">
        <f t="shared" si="2"/>
        <v/>
      </c>
    </row>
    <row r="105" spans="2:9" ht="16.5" customHeight="1" x14ac:dyDescent="0.25">
      <c r="B105" s="6"/>
      <c r="C105" s="7"/>
      <c r="D105" s="7"/>
      <c r="E105" s="7"/>
      <c r="F105" s="6"/>
      <c r="G105" s="6"/>
      <c r="H105" s="6" t="str">
        <f>IF(B105="","",SUMPRODUCT((Movimientos!E$9:E$508=B105)*(Movimientos!C$9:C$508&lt;&gt;"Salida")*Movimientos!H$9:H$508)-SUMPRODUCT((Movimientos!E$9:E$508=B105)*(Movimientos!C$9:C$508="Salida")*Movimientos!H$9:H$508))</f>
        <v/>
      </c>
      <c r="I105" s="6" t="str">
        <f t="shared" si="2"/>
        <v/>
      </c>
    </row>
    <row r="106" spans="2:9" ht="16.5" customHeight="1" x14ac:dyDescent="0.25">
      <c r="B106" s="4"/>
      <c r="C106" s="5"/>
      <c r="D106" s="5"/>
      <c r="E106" s="5"/>
      <c r="F106" s="4"/>
      <c r="G106" s="4"/>
      <c r="H106" s="4" t="str">
        <f>IF(B106="","",SUMPRODUCT((Movimientos!E$9:E$508=B106)*(Movimientos!C$9:C$508&lt;&gt;"Salida")*Movimientos!H$9:H$508)-SUMPRODUCT((Movimientos!E$9:E$508=B106)*(Movimientos!C$9:C$508="Salida")*Movimientos!H$9:H$508))</f>
        <v/>
      </c>
      <c r="I106" s="4" t="str">
        <f t="shared" ref="I106:I137" si="3">IF(B106="","",IF(H106=0,"AGOTADO",IF(H106&lt;=G106,"STOCK BAJO","CON STOCK")))</f>
        <v/>
      </c>
    </row>
    <row r="107" spans="2:9" ht="16.5" customHeight="1" x14ac:dyDescent="0.25">
      <c r="B107" s="6"/>
      <c r="C107" s="7"/>
      <c r="D107" s="7"/>
      <c r="E107" s="7"/>
      <c r="F107" s="6"/>
      <c r="G107" s="6"/>
      <c r="H107" s="6" t="str">
        <f>IF(B107="","",SUMPRODUCT((Movimientos!E$9:E$508=B107)*(Movimientos!C$9:C$508&lt;&gt;"Salida")*Movimientos!H$9:H$508)-SUMPRODUCT((Movimientos!E$9:E$508=B107)*(Movimientos!C$9:C$508="Salida")*Movimientos!H$9:H$508))</f>
        <v/>
      </c>
      <c r="I107" s="6" t="str">
        <f t="shared" si="3"/>
        <v/>
      </c>
    </row>
    <row r="108" spans="2:9" ht="16.5" customHeight="1" x14ac:dyDescent="0.25">
      <c r="B108" s="4"/>
      <c r="C108" s="5"/>
      <c r="D108" s="5"/>
      <c r="E108" s="5"/>
      <c r="F108" s="4"/>
      <c r="G108" s="4"/>
      <c r="H108" s="4" t="str">
        <f>IF(B108="","",SUMPRODUCT((Movimientos!E$9:E$508=B108)*(Movimientos!C$9:C$508&lt;&gt;"Salida")*Movimientos!H$9:H$508)-SUMPRODUCT((Movimientos!E$9:E$508=B108)*(Movimientos!C$9:C$508="Salida")*Movimientos!H$9:H$508))</f>
        <v/>
      </c>
      <c r="I108" s="4" t="str">
        <f t="shared" si="3"/>
        <v/>
      </c>
    </row>
    <row r="109" spans="2:9" ht="16.5" customHeight="1" x14ac:dyDescent="0.25">
      <c r="B109" s="6"/>
      <c r="C109" s="7"/>
      <c r="D109" s="7"/>
      <c r="E109" s="7"/>
      <c r="F109" s="6"/>
      <c r="G109" s="6"/>
      <c r="H109" s="6" t="str">
        <f>IF(B109="","",SUMPRODUCT((Movimientos!E$9:E$508=B109)*(Movimientos!C$9:C$508&lt;&gt;"Salida")*Movimientos!H$9:H$508)-SUMPRODUCT((Movimientos!E$9:E$508=B109)*(Movimientos!C$9:C$508="Salida")*Movimientos!H$9:H$508))</f>
        <v/>
      </c>
      <c r="I109" s="6" t="str">
        <f t="shared" si="3"/>
        <v/>
      </c>
    </row>
    <row r="110" spans="2:9" ht="16.5" customHeight="1" x14ac:dyDescent="0.25">
      <c r="B110" s="4"/>
      <c r="C110" s="5"/>
      <c r="D110" s="5"/>
      <c r="E110" s="5"/>
      <c r="F110" s="4"/>
      <c r="G110" s="4"/>
      <c r="H110" s="4" t="str">
        <f>IF(B110="","",SUMPRODUCT((Movimientos!E$9:E$508=B110)*(Movimientos!C$9:C$508&lt;&gt;"Salida")*Movimientos!H$9:H$508)-SUMPRODUCT((Movimientos!E$9:E$508=B110)*(Movimientos!C$9:C$508="Salida")*Movimientos!H$9:H$508))</f>
        <v/>
      </c>
      <c r="I110" s="4" t="str">
        <f t="shared" si="3"/>
        <v/>
      </c>
    </row>
    <row r="111" spans="2:9" ht="16.5" customHeight="1" x14ac:dyDescent="0.25">
      <c r="B111" s="6"/>
      <c r="C111" s="7"/>
      <c r="D111" s="7"/>
      <c r="E111" s="7"/>
      <c r="F111" s="6"/>
      <c r="G111" s="6"/>
      <c r="H111" s="6" t="str">
        <f>IF(B111="","",SUMPRODUCT((Movimientos!E$9:E$508=B111)*(Movimientos!C$9:C$508&lt;&gt;"Salida")*Movimientos!H$9:H$508)-SUMPRODUCT((Movimientos!E$9:E$508=B111)*(Movimientos!C$9:C$508="Salida")*Movimientos!H$9:H$508))</f>
        <v/>
      </c>
      <c r="I111" s="6" t="str">
        <f t="shared" si="3"/>
        <v/>
      </c>
    </row>
    <row r="112" spans="2:9" ht="16.5" customHeight="1" x14ac:dyDescent="0.25">
      <c r="B112" s="4"/>
      <c r="C112" s="5"/>
      <c r="D112" s="5"/>
      <c r="E112" s="5"/>
      <c r="F112" s="4"/>
      <c r="G112" s="4"/>
      <c r="H112" s="4" t="str">
        <f>IF(B112="","",SUMPRODUCT((Movimientos!E$9:E$508=B112)*(Movimientos!C$9:C$508&lt;&gt;"Salida")*Movimientos!H$9:H$508)-SUMPRODUCT((Movimientos!E$9:E$508=B112)*(Movimientos!C$9:C$508="Salida")*Movimientos!H$9:H$508))</f>
        <v/>
      </c>
      <c r="I112" s="4" t="str">
        <f t="shared" si="3"/>
        <v/>
      </c>
    </row>
    <row r="113" spans="2:9" ht="16.5" customHeight="1" x14ac:dyDescent="0.25">
      <c r="B113" s="6"/>
      <c r="C113" s="7"/>
      <c r="D113" s="7"/>
      <c r="E113" s="7"/>
      <c r="F113" s="6"/>
      <c r="G113" s="6"/>
      <c r="H113" s="6" t="str">
        <f>IF(B113="","",SUMPRODUCT((Movimientos!E$9:E$508=B113)*(Movimientos!C$9:C$508&lt;&gt;"Salida")*Movimientos!H$9:H$508)-SUMPRODUCT((Movimientos!E$9:E$508=B113)*(Movimientos!C$9:C$508="Salida")*Movimientos!H$9:H$508))</f>
        <v/>
      </c>
      <c r="I113" s="6" t="str">
        <f t="shared" si="3"/>
        <v/>
      </c>
    </row>
    <row r="114" spans="2:9" ht="16.5" customHeight="1" x14ac:dyDescent="0.25">
      <c r="B114" s="4"/>
      <c r="C114" s="5"/>
      <c r="D114" s="5"/>
      <c r="E114" s="5"/>
      <c r="F114" s="4"/>
      <c r="G114" s="4"/>
      <c r="H114" s="4" t="str">
        <f>IF(B114="","",SUMPRODUCT((Movimientos!E$9:E$508=B114)*(Movimientos!C$9:C$508&lt;&gt;"Salida")*Movimientos!H$9:H$508)-SUMPRODUCT((Movimientos!E$9:E$508=B114)*(Movimientos!C$9:C$508="Salida")*Movimientos!H$9:H$508))</f>
        <v/>
      </c>
      <c r="I114" s="4" t="str">
        <f t="shared" si="3"/>
        <v/>
      </c>
    </row>
    <row r="115" spans="2:9" ht="16.5" customHeight="1" x14ac:dyDescent="0.25">
      <c r="B115" s="6"/>
      <c r="C115" s="7"/>
      <c r="D115" s="7"/>
      <c r="E115" s="7"/>
      <c r="F115" s="6"/>
      <c r="G115" s="6"/>
      <c r="H115" s="6" t="str">
        <f>IF(B115="","",SUMPRODUCT((Movimientos!E$9:E$508=B115)*(Movimientos!C$9:C$508&lt;&gt;"Salida")*Movimientos!H$9:H$508)-SUMPRODUCT((Movimientos!E$9:E$508=B115)*(Movimientos!C$9:C$508="Salida")*Movimientos!H$9:H$508))</f>
        <v/>
      </c>
      <c r="I115" s="6" t="str">
        <f t="shared" si="3"/>
        <v/>
      </c>
    </row>
    <row r="116" spans="2:9" ht="16.5" customHeight="1" x14ac:dyDescent="0.25">
      <c r="B116" s="4"/>
      <c r="C116" s="5"/>
      <c r="D116" s="5"/>
      <c r="E116" s="5"/>
      <c r="F116" s="4"/>
      <c r="G116" s="4"/>
      <c r="H116" s="4" t="str">
        <f>IF(B116="","",SUMPRODUCT((Movimientos!E$9:E$508=B116)*(Movimientos!C$9:C$508&lt;&gt;"Salida")*Movimientos!H$9:H$508)-SUMPRODUCT((Movimientos!E$9:E$508=B116)*(Movimientos!C$9:C$508="Salida")*Movimientos!H$9:H$508))</f>
        <v/>
      </c>
      <c r="I116" s="4" t="str">
        <f t="shared" si="3"/>
        <v/>
      </c>
    </row>
    <row r="117" spans="2:9" ht="16.5" customHeight="1" x14ac:dyDescent="0.25">
      <c r="B117" s="6"/>
      <c r="C117" s="7"/>
      <c r="D117" s="7"/>
      <c r="E117" s="7"/>
      <c r="F117" s="6"/>
      <c r="G117" s="6"/>
      <c r="H117" s="6" t="str">
        <f>IF(B117="","",SUMPRODUCT((Movimientos!E$9:E$508=B117)*(Movimientos!C$9:C$508&lt;&gt;"Salida")*Movimientos!H$9:H$508)-SUMPRODUCT((Movimientos!E$9:E$508=B117)*(Movimientos!C$9:C$508="Salida")*Movimientos!H$9:H$508))</f>
        <v/>
      </c>
      <c r="I117" s="6" t="str">
        <f t="shared" si="3"/>
        <v/>
      </c>
    </row>
    <row r="118" spans="2:9" ht="16.5" customHeight="1" x14ac:dyDescent="0.25">
      <c r="B118" s="4"/>
      <c r="C118" s="5"/>
      <c r="D118" s="5"/>
      <c r="E118" s="5"/>
      <c r="F118" s="4"/>
      <c r="G118" s="4"/>
      <c r="H118" s="4" t="str">
        <f>IF(B118="","",SUMPRODUCT((Movimientos!E$9:E$508=B118)*(Movimientos!C$9:C$508&lt;&gt;"Salida")*Movimientos!H$9:H$508)-SUMPRODUCT((Movimientos!E$9:E$508=B118)*(Movimientos!C$9:C$508="Salida")*Movimientos!H$9:H$508))</f>
        <v/>
      </c>
      <c r="I118" s="4" t="str">
        <f t="shared" si="3"/>
        <v/>
      </c>
    </row>
    <row r="119" spans="2:9" ht="16.5" customHeight="1" x14ac:dyDescent="0.25">
      <c r="B119" s="6"/>
      <c r="C119" s="7"/>
      <c r="D119" s="7"/>
      <c r="E119" s="7"/>
      <c r="F119" s="6"/>
      <c r="G119" s="6"/>
      <c r="H119" s="6" t="str">
        <f>IF(B119="","",SUMPRODUCT((Movimientos!E$9:E$508=B119)*(Movimientos!C$9:C$508&lt;&gt;"Salida")*Movimientos!H$9:H$508)-SUMPRODUCT((Movimientos!E$9:E$508=B119)*(Movimientos!C$9:C$508="Salida")*Movimientos!H$9:H$508))</f>
        <v/>
      </c>
      <c r="I119" s="6" t="str">
        <f t="shared" si="3"/>
        <v/>
      </c>
    </row>
    <row r="120" spans="2:9" ht="16.5" customHeight="1" x14ac:dyDescent="0.25">
      <c r="B120" s="4"/>
      <c r="C120" s="5"/>
      <c r="D120" s="5"/>
      <c r="E120" s="5"/>
      <c r="F120" s="4"/>
      <c r="G120" s="4"/>
      <c r="H120" s="4" t="str">
        <f>IF(B120="","",SUMPRODUCT((Movimientos!E$9:E$508=B120)*(Movimientos!C$9:C$508&lt;&gt;"Salida")*Movimientos!H$9:H$508)-SUMPRODUCT((Movimientos!E$9:E$508=B120)*(Movimientos!C$9:C$508="Salida")*Movimientos!H$9:H$508))</f>
        <v/>
      </c>
      <c r="I120" s="4" t="str">
        <f t="shared" si="3"/>
        <v/>
      </c>
    </row>
    <row r="121" spans="2:9" ht="16.5" customHeight="1" x14ac:dyDescent="0.25">
      <c r="B121" s="6"/>
      <c r="C121" s="7"/>
      <c r="D121" s="7"/>
      <c r="E121" s="7"/>
      <c r="F121" s="6"/>
      <c r="G121" s="6"/>
      <c r="H121" s="6" t="str">
        <f>IF(B121="","",SUMPRODUCT((Movimientos!E$9:E$508=B121)*(Movimientos!C$9:C$508&lt;&gt;"Salida")*Movimientos!H$9:H$508)-SUMPRODUCT((Movimientos!E$9:E$508=B121)*(Movimientos!C$9:C$508="Salida")*Movimientos!H$9:H$508))</f>
        <v/>
      </c>
      <c r="I121" s="6" t="str">
        <f t="shared" si="3"/>
        <v/>
      </c>
    </row>
    <row r="122" spans="2:9" ht="16.5" customHeight="1" x14ac:dyDescent="0.25">
      <c r="B122" s="4"/>
      <c r="C122" s="5"/>
      <c r="D122" s="5"/>
      <c r="E122" s="5"/>
      <c r="F122" s="4"/>
      <c r="G122" s="4"/>
      <c r="H122" s="4" t="str">
        <f>IF(B122="","",SUMPRODUCT((Movimientos!E$9:E$508=B122)*(Movimientos!C$9:C$508&lt;&gt;"Salida")*Movimientos!H$9:H$508)-SUMPRODUCT((Movimientos!E$9:E$508=B122)*(Movimientos!C$9:C$508="Salida")*Movimientos!H$9:H$508))</f>
        <v/>
      </c>
      <c r="I122" s="4" t="str">
        <f t="shared" si="3"/>
        <v/>
      </c>
    </row>
    <row r="123" spans="2:9" ht="16.5" customHeight="1" x14ac:dyDescent="0.25">
      <c r="B123" s="6"/>
      <c r="C123" s="7"/>
      <c r="D123" s="7"/>
      <c r="E123" s="7"/>
      <c r="F123" s="6"/>
      <c r="G123" s="6"/>
      <c r="H123" s="6" t="str">
        <f>IF(B123="","",SUMPRODUCT((Movimientos!E$9:E$508=B123)*(Movimientos!C$9:C$508&lt;&gt;"Salida")*Movimientos!H$9:H$508)-SUMPRODUCT((Movimientos!E$9:E$508=B123)*(Movimientos!C$9:C$508="Salida")*Movimientos!H$9:H$508))</f>
        <v/>
      </c>
      <c r="I123" s="6" t="str">
        <f t="shared" si="3"/>
        <v/>
      </c>
    </row>
    <row r="124" spans="2:9" ht="16.5" customHeight="1" x14ac:dyDescent="0.25">
      <c r="B124" s="4"/>
      <c r="C124" s="5"/>
      <c r="D124" s="5"/>
      <c r="E124" s="5"/>
      <c r="F124" s="4"/>
      <c r="G124" s="4"/>
      <c r="H124" s="4" t="str">
        <f>IF(B124="","",SUMPRODUCT((Movimientos!E$9:E$508=B124)*(Movimientos!C$9:C$508&lt;&gt;"Salida")*Movimientos!H$9:H$508)-SUMPRODUCT((Movimientos!E$9:E$508=B124)*(Movimientos!C$9:C$508="Salida")*Movimientos!H$9:H$508))</f>
        <v/>
      </c>
      <c r="I124" s="4" t="str">
        <f t="shared" si="3"/>
        <v/>
      </c>
    </row>
    <row r="125" spans="2:9" ht="16.5" customHeight="1" x14ac:dyDescent="0.25">
      <c r="B125" s="6"/>
      <c r="C125" s="7"/>
      <c r="D125" s="7"/>
      <c r="E125" s="7"/>
      <c r="F125" s="6"/>
      <c r="G125" s="6"/>
      <c r="H125" s="6" t="str">
        <f>IF(B125="","",SUMPRODUCT((Movimientos!E$9:E$508=B125)*(Movimientos!C$9:C$508&lt;&gt;"Salida")*Movimientos!H$9:H$508)-SUMPRODUCT((Movimientos!E$9:E$508=B125)*(Movimientos!C$9:C$508="Salida")*Movimientos!H$9:H$508))</f>
        <v/>
      </c>
      <c r="I125" s="6" t="str">
        <f t="shared" si="3"/>
        <v/>
      </c>
    </row>
    <row r="126" spans="2:9" ht="16.5" customHeight="1" x14ac:dyDescent="0.25">
      <c r="B126" s="4"/>
      <c r="C126" s="5"/>
      <c r="D126" s="5"/>
      <c r="E126" s="5"/>
      <c r="F126" s="4"/>
      <c r="G126" s="4"/>
      <c r="H126" s="4" t="str">
        <f>IF(B126="","",SUMPRODUCT((Movimientos!E$9:E$508=B126)*(Movimientos!C$9:C$508&lt;&gt;"Salida")*Movimientos!H$9:H$508)-SUMPRODUCT((Movimientos!E$9:E$508=B126)*(Movimientos!C$9:C$508="Salida")*Movimientos!H$9:H$508))</f>
        <v/>
      </c>
      <c r="I126" s="4" t="str">
        <f t="shared" si="3"/>
        <v/>
      </c>
    </row>
    <row r="127" spans="2:9" ht="16.5" customHeight="1" x14ac:dyDescent="0.25">
      <c r="B127" s="6"/>
      <c r="C127" s="7"/>
      <c r="D127" s="7"/>
      <c r="E127" s="7"/>
      <c r="F127" s="6"/>
      <c r="G127" s="6"/>
      <c r="H127" s="6" t="str">
        <f>IF(B127="","",SUMPRODUCT((Movimientos!E$9:E$508=B127)*(Movimientos!C$9:C$508&lt;&gt;"Salida")*Movimientos!H$9:H$508)-SUMPRODUCT((Movimientos!E$9:E$508=B127)*(Movimientos!C$9:C$508="Salida")*Movimientos!H$9:H$508))</f>
        <v/>
      </c>
      <c r="I127" s="6" t="str">
        <f t="shared" si="3"/>
        <v/>
      </c>
    </row>
    <row r="128" spans="2:9" ht="16.5" customHeight="1" x14ac:dyDescent="0.25">
      <c r="B128" s="4"/>
      <c r="C128" s="5"/>
      <c r="D128" s="5"/>
      <c r="E128" s="5"/>
      <c r="F128" s="4"/>
      <c r="G128" s="4"/>
      <c r="H128" s="4" t="str">
        <f>IF(B128="","",SUMPRODUCT((Movimientos!E$9:E$508=B128)*(Movimientos!C$9:C$508&lt;&gt;"Salida")*Movimientos!H$9:H$508)-SUMPRODUCT((Movimientos!E$9:E$508=B128)*(Movimientos!C$9:C$508="Salida")*Movimientos!H$9:H$508))</f>
        <v/>
      </c>
      <c r="I128" s="4" t="str">
        <f t="shared" si="3"/>
        <v/>
      </c>
    </row>
    <row r="129" spans="2:9" ht="16.5" customHeight="1" x14ac:dyDescent="0.25">
      <c r="B129" s="6"/>
      <c r="C129" s="7"/>
      <c r="D129" s="7"/>
      <c r="E129" s="7"/>
      <c r="F129" s="6"/>
      <c r="G129" s="6"/>
      <c r="H129" s="6" t="str">
        <f>IF(B129="","",SUMPRODUCT((Movimientos!E$9:E$508=B129)*(Movimientos!C$9:C$508&lt;&gt;"Salida")*Movimientos!H$9:H$508)-SUMPRODUCT((Movimientos!E$9:E$508=B129)*(Movimientos!C$9:C$508="Salida")*Movimientos!H$9:H$508))</f>
        <v/>
      </c>
      <c r="I129" s="6" t="str">
        <f t="shared" si="3"/>
        <v/>
      </c>
    </row>
    <row r="130" spans="2:9" ht="16.5" customHeight="1" x14ac:dyDescent="0.25">
      <c r="B130" s="4"/>
      <c r="C130" s="5"/>
      <c r="D130" s="5"/>
      <c r="E130" s="5"/>
      <c r="F130" s="4"/>
      <c r="G130" s="4"/>
      <c r="H130" s="4" t="str">
        <f>IF(B130="","",SUMPRODUCT((Movimientos!E$9:E$508=B130)*(Movimientos!C$9:C$508&lt;&gt;"Salida")*Movimientos!H$9:H$508)-SUMPRODUCT((Movimientos!E$9:E$508=B130)*(Movimientos!C$9:C$508="Salida")*Movimientos!H$9:H$508))</f>
        <v/>
      </c>
      <c r="I130" s="4" t="str">
        <f t="shared" si="3"/>
        <v/>
      </c>
    </row>
    <row r="131" spans="2:9" ht="16.5" customHeight="1" x14ac:dyDescent="0.25">
      <c r="B131" s="6"/>
      <c r="C131" s="7"/>
      <c r="D131" s="7"/>
      <c r="E131" s="7"/>
      <c r="F131" s="6"/>
      <c r="G131" s="6"/>
      <c r="H131" s="6" t="str">
        <f>IF(B131="","",SUMPRODUCT((Movimientos!E$9:E$508=B131)*(Movimientos!C$9:C$508&lt;&gt;"Salida")*Movimientos!H$9:H$508)-SUMPRODUCT((Movimientos!E$9:E$508=B131)*(Movimientos!C$9:C$508="Salida")*Movimientos!H$9:H$508))</f>
        <v/>
      </c>
      <c r="I131" s="6" t="str">
        <f t="shared" si="3"/>
        <v/>
      </c>
    </row>
    <row r="132" spans="2:9" ht="16.5" customHeight="1" x14ac:dyDescent="0.25">
      <c r="B132" s="4"/>
      <c r="C132" s="5"/>
      <c r="D132" s="5"/>
      <c r="E132" s="5"/>
      <c r="F132" s="4"/>
      <c r="G132" s="4"/>
      <c r="H132" s="4" t="str">
        <f>IF(B132="","",SUMPRODUCT((Movimientos!E$9:E$508=B132)*(Movimientos!C$9:C$508&lt;&gt;"Salida")*Movimientos!H$9:H$508)-SUMPRODUCT((Movimientos!E$9:E$508=B132)*(Movimientos!C$9:C$508="Salida")*Movimientos!H$9:H$508))</f>
        <v/>
      </c>
      <c r="I132" s="4" t="str">
        <f t="shared" si="3"/>
        <v/>
      </c>
    </row>
    <row r="133" spans="2:9" ht="16.5" customHeight="1" x14ac:dyDescent="0.25">
      <c r="B133" s="6"/>
      <c r="C133" s="7"/>
      <c r="D133" s="7"/>
      <c r="E133" s="7"/>
      <c r="F133" s="6"/>
      <c r="G133" s="6"/>
      <c r="H133" s="6" t="str">
        <f>IF(B133="","",SUMPRODUCT((Movimientos!E$9:E$508=B133)*(Movimientos!C$9:C$508&lt;&gt;"Salida")*Movimientos!H$9:H$508)-SUMPRODUCT((Movimientos!E$9:E$508=B133)*(Movimientos!C$9:C$508="Salida")*Movimientos!H$9:H$508))</f>
        <v/>
      </c>
      <c r="I133" s="6" t="str">
        <f t="shared" si="3"/>
        <v/>
      </c>
    </row>
    <row r="134" spans="2:9" ht="16.5" customHeight="1" x14ac:dyDescent="0.25">
      <c r="B134" s="4"/>
      <c r="C134" s="5"/>
      <c r="D134" s="5"/>
      <c r="E134" s="5"/>
      <c r="F134" s="4"/>
      <c r="G134" s="4"/>
      <c r="H134" s="4" t="str">
        <f>IF(B134="","",SUMPRODUCT((Movimientos!E$9:E$508=B134)*(Movimientos!C$9:C$508&lt;&gt;"Salida")*Movimientos!H$9:H$508)-SUMPRODUCT((Movimientos!E$9:E$508=B134)*(Movimientos!C$9:C$508="Salida")*Movimientos!H$9:H$508))</f>
        <v/>
      </c>
      <c r="I134" s="4" t="str">
        <f t="shared" si="3"/>
        <v/>
      </c>
    </row>
    <row r="135" spans="2:9" ht="16.5" customHeight="1" x14ac:dyDescent="0.25">
      <c r="B135" s="6"/>
      <c r="C135" s="7"/>
      <c r="D135" s="7"/>
      <c r="E135" s="7"/>
      <c r="F135" s="6"/>
      <c r="G135" s="6"/>
      <c r="H135" s="6" t="str">
        <f>IF(B135="","",SUMPRODUCT((Movimientos!E$9:E$508=B135)*(Movimientos!C$9:C$508&lt;&gt;"Salida")*Movimientos!H$9:H$508)-SUMPRODUCT((Movimientos!E$9:E$508=B135)*(Movimientos!C$9:C$508="Salida")*Movimientos!H$9:H$508))</f>
        <v/>
      </c>
      <c r="I135" s="6" t="str">
        <f t="shared" si="3"/>
        <v/>
      </c>
    </row>
    <row r="136" spans="2:9" ht="16.5" customHeight="1" x14ac:dyDescent="0.25">
      <c r="B136" s="4"/>
      <c r="C136" s="5"/>
      <c r="D136" s="5"/>
      <c r="E136" s="5"/>
      <c r="F136" s="4"/>
      <c r="G136" s="4"/>
      <c r="H136" s="4" t="str">
        <f>IF(B136="","",SUMPRODUCT((Movimientos!E$9:E$508=B136)*(Movimientos!C$9:C$508&lt;&gt;"Salida")*Movimientos!H$9:H$508)-SUMPRODUCT((Movimientos!E$9:E$508=B136)*(Movimientos!C$9:C$508="Salida")*Movimientos!H$9:H$508))</f>
        <v/>
      </c>
      <c r="I136" s="4" t="str">
        <f t="shared" si="3"/>
        <v/>
      </c>
    </row>
    <row r="137" spans="2:9" ht="16.5" customHeight="1" x14ac:dyDescent="0.25">
      <c r="B137" s="6"/>
      <c r="C137" s="7"/>
      <c r="D137" s="7"/>
      <c r="E137" s="7"/>
      <c r="F137" s="6"/>
      <c r="G137" s="6"/>
      <c r="H137" s="6" t="str">
        <f>IF(B137="","",SUMPRODUCT((Movimientos!E$9:E$508=B137)*(Movimientos!C$9:C$508&lt;&gt;"Salida")*Movimientos!H$9:H$508)-SUMPRODUCT((Movimientos!E$9:E$508=B137)*(Movimientos!C$9:C$508="Salida")*Movimientos!H$9:H$508))</f>
        <v/>
      </c>
      <c r="I137" s="6" t="str">
        <f t="shared" si="3"/>
        <v/>
      </c>
    </row>
    <row r="138" spans="2:9" ht="16.5" customHeight="1" x14ac:dyDescent="0.25">
      <c r="B138" s="4"/>
      <c r="C138" s="5"/>
      <c r="D138" s="5"/>
      <c r="E138" s="5"/>
      <c r="F138" s="4"/>
      <c r="G138" s="4"/>
      <c r="H138" s="4" t="str">
        <f>IF(B138="","",SUMPRODUCT((Movimientos!E$9:E$508=B138)*(Movimientos!C$9:C$508&lt;&gt;"Salida")*Movimientos!H$9:H$508)-SUMPRODUCT((Movimientos!E$9:E$508=B138)*(Movimientos!C$9:C$508="Salida")*Movimientos!H$9:H$508))</f>
        <v/>
      </c>
      <c r="I138" s="4" t="str">
        <f t="shared" ref="I138:I169" si="4">IF(B138="","",IF(H138=0,"AGOTADO",IF(H138&lt;=G138,"STOCK BAJO","CON STOCK")))</f>
        <v/>
      </c>
    </row>
    <row r="139" spans="2:9" ht="16.5" customHeight="1" x14ac:dyDescent="0.25">
      <c r="B139" s="6"/>
      <c r="C139" s="7"/>
      <c r="D139" s="7"/>
      <c r="E139" s="7"/>
      <c r="F139" s="6"/>
      <c r="G139" s="6"/>
      <c r="H139" s="6" t="str">
        <f>IF(B139="","",SUMPRODUCT((Movimientos!E$9:E$508=B139)*(Movimientos!C$9:C$508&lt;&gt;"Salida")*Movimientos!H$9:H$508)-SUMPRODUCT((Movimientos!E$9:E$508=B139)*(Movimientos!C$9:C$508="Salida")*Movimientos!H$9:H$508))</f>
        <v/>
      </c>
      <c r="I139" s="6" t="str">
        <f t="shared" si="4"/>
        <v/>
      </c>
    </row>
    <row r="140" spans="2:9" ht="16.5" customHeight="1" x14ac:dyDescent="0.25">
      <c r="B140" s="4"/>
      <c r="C140" s="5"/>
      <c r="D140" s="5"/>
      <c r="E140" s="5"/>
      <c r="F140" s="4"/>
      <c r="G140" s="4"/>
      <c r="H140" s="4" t="str">
        <f>IF(B140="","",SUMPRODUCT((Movimientos!E$9:E$508=B140)*(Movimientos!C$9:C$508&lt;&gt;"Salida")*Movimientos!H$9:H$508)-SUMPRODUCT((Movimientos!E$9:E$508=B140)*(Movimientos!C$9:C$508="Salida")*Movimientos!H$9:H$508))</f>
        <v/>
      </c>
      <c r="I140" s="4" t="str">
        <f t="shared" si="4"/>
        <v/>
      </c>
    </row>
    <row r="141" spans="2:9" ht="16.5" customHeight="1" x14ac:dyDescent="0.25">
      <c r="B141" s="6"/>
      <c r="C141" s="7"/>
      <c r="D141" s="7"/>
      <c r="E141" s="7"/>
      <c r="F141" s="6"/>
      <c r="G141" s="6"/>
      <c r="H141" s="6" t="str">
        <f>IF(B141="","",SUMPRODUCT((Movimientos!E$9:E$508=B141)*(Movimientos!C$9:C$508&lt;&gt;"Salida")*Movimientos!H$9:H$508)-SUMPRODUCT((Movimientos!E$9:E$508=B141)*(Movimientos!C$9:C$508="Salida")*Movimientos!H$9:H$508))</f>
        <v/>
      </c>
      <c r="I141" s="6" t="str">
        <f t="shared" si="4"/>
        <v/>
      </c>
    </row>
    <row r="142" spans="2:9" ht="16.5" customHeight="1" x14ac:dyDescent="0.25">
      <c r="B142" s="4"/>
      <c r="C142" s="5"/>
      <c r="D142" s="5"/>
      <c r="E142" s="5"/>
      <c r="F142" s="4"/>
      <c r="G142" s="4"/>
      <c r="H142" s="4" t="str">
        <f>IF(B142="","",SUMPRODUCT((Movimientos!E$9:E$508=B142)*(Movimientos!C$9:C$508&lt;&gt;"Salida")*Movimientos!H$9:H$508)-SUMPRODUCT((Movimientos!E$9:E$508=B142)*(Movimientos!C$9:C$508="Salida")*Movimientos!H$9:H$508))</f>
        <v/>
      </c>
      <c r="I142" s="4" t="str">
        <f t="shared" si="4"/>
        <v/>
      </c>
    </row>
    <row r="143" spans="2:9" ht="16.5" customHeight="1" x14ac:dyDescent="0.25">
      <c r="B143" s="6"/>
      <c r="C143" s="7"/>
      <c r="D143" s="7"/>
      <c r="E143" s="7"/>
      <c r="F143" s="6"/>
      <c r="G143" s="6"/>
      <c r="H143" s="6" t="str">
        <f>IF(B143="","",SUMPRODUCT((Movimientos!E$9:E$508=B143)*(Movimientos!C$9:C$508&lt;&gt;"Salida")*Movimientos!H$9:H$508)-SUMPRODUCT((Movimientos!E$9:E$508=B143)*(Movimientos!C$9:C$508="Salida")*Movimientos!H$9:H$508))</f>
        <v/>
      </c>
      <c r="I143" s="6" t="str">
        <f t="shared" si="4"/>
        <v/>
      </c>
    </row>
    <row r="144" spans="2:9" ht="16.5" customHeight="1" x14ac:dyDescent="0.25">
      <c r="B144" s="4"/>
      <c r="C144" s="5"/>
      <c r="D144" s="5"/>
      <c r="E144" s="5"/>
      <c r="F144" s="4"/>
      <c r="G144" s="4"/>
      <c r="H144" s="4" t="str">
        <f>IF(B144="","",SUMPRODUCT((Movimientos!E$9:E$508=B144)*(Movimientos!C$9:C$508&lt;&gt;"Salida")*Movimientos!H$9:H$508)-SUMPRODUCT((Movimientos!E$9:E$508=B144)*(Movimientos!C$9:C$508="Salida")*Movimientos!H$9:H$508))</f>
        <v/>
      </c>
      <c r="I144" s="4" t="str">
        <f t="shared" si="4"/>
        <v/>
      </c>
    </row>
    <row r="145" spans="2:9" ht="16.5" customHeight="1" x14ac:dyDescent="0.25">
      <c r="B145" s="6"/>
      <c r="C145" s="7"/>
      <c r="D145" s="7"/>
      <c r="E145" s="7"/>
      <c r="F145" s="6"/>
      <c r="G145" s="6"/>
      <c r="H145" s="6" t="str">
        <f>IF(B145="","",SUMPRODUCT((Movimientos!E$9:E$508=B145)*(Movimientos!C$9:C$508&lt;&gt;"Salida")*Movimientos!H$9:H$508)-SUMPRODUCT((Movimientos!E$9:E$508=B145)*(Movimientos!C$9:C$508="Salida")*Movimientos!H$9:H$508))</f>
        <v/>
      </c>
      <c r="I145" s="6" t="str">
        <f t="shared" si="4"/>
        <v/>
      </c>
    </row>
    <row r="146" spans="2:9" ht="16.5" customHeight="1" x14ac:dyDescent="0.25">
      <c r="B146" s="4"/>
      <c r="C146" s="5"/>
      <c r="D146" s="5"/>
      <c r="E146" s="5"/>
      <c r="F146" s="4"/>
      <c r="G146" s="4"/>
      <c r="H146" s="4" t="str">
        <f>IF(B146="","",SUMPRODUCT((Movimientos!E$9:E$508=B146)*(Movimientos!C$9:C$508&lt;&gt;"Salida")*Movimientos!H$9:H$508)-SUMPRODUCT((Movimientos!E$9:E$508=B146)*(Movimientos!C$9:C$508="Salida")*Movimientos!H$9:H$508))</f>
        <v/>
      </c>
      <c r="I146" s="4" t="str">
        <f t="shared" si="4"/>
        <v/>
      </c>
    </row>
    <row r="147" spans="2:9" ht="16.5" customHeight="1" x14ac:dyDescent="0.25">
      <c r="B147" s="6"/>
      <c r="C147" s="7"/>
      <c r="D147" s="7"/>
      <c r="E147" s="7"/>
      <c r="F147" s="6"/>
      <c r="G147" s="6"/>
      <c r="H147" s="6" t="str">
        <f>IF(B147="","",SUMPRODUCT((Movimientos!E$9:E$508=B147)*(Movimientos!C$9:C$508&lt;&gt;"Salida")*Movimientos!H$9:H$508)-SUMPRODUCT((Movimientos!E$9:E$508=B147)*(Movimientos!C$9:C$508="Salida")*Movimientos!H$9:H$508))</f>
        <v/>
      </c>
      <c r="I147" s="6" t="str">
        <f t="shared" si="4"/>
        <v/>
      </c>
    </row>
    <row r="148" spans="2:9" ht="16.5" customHeight="1" x14ac:dyDescent="0.25">
      <c r="B148" s="4"/>
      <c r="C148" s="5"/>
      <c r="D148" s="5"/>
      <c r="E148" s="5"/>
      <c r="F148" s="4"/>
      <c r="G148" s="4"/>
      <c r="H148" s="4" t="str">
        <f>IF(B148="","",SUMPRODUCT((Movimientos!E$9:E$508=B148)*(Movimientos!C$9:C$508&lt;&gt;"Salida")*Movimientos!H$9:H$508)-SUMPRODUCT((Movimientos!E$9:E$508=B148)*(Movimientos!C$9:C$508="Salida")*Movimientos!H$9:H$508))</f>
        <v/>
      </c>
      <c r="I148" s="4" t="str">
        <f t="shared" si="4"/>
        <v/>
      </c>
    </row>
    <row r="149" spans="2:9" ht="16.5" customHeight="1" x14ac:dyDescent="0.25">
      <c r="B149" s="6"/>
      <c r="C149" s="7"/>
      <c r="D149" s="7"/>
      <c r="E149" s="7"/>
      <c r="F149" s="6"/>
      <c r="G149" s="6"/>
      <c r="H149" s="6" t="str">
        <f>IF(B149="","",SUMPRODUCT((Movimientos!E$9:E$508=B149)*(Movimientos!C$9:C$508&lt;&gt;"Salida")*Movimientos!H$9:H$508)-SUMPRODUCT((Movimientos!E$9:E$508=B149)*(Movimientos!C$9:C$508="Salida")*Movimientos!H$9:H$508))</f>
        <v/>
      </c>
      <c r="I149" s="6" t="str">
        <f t="shared" si="4"/>
        <v/>
      </c>
    </row>
    <row r="150" spans="2:9" ht="16.5" customHeight="1" x14ac:dyDescent="0.25">
      <c r="B150" s="4"/>
      <c r="C150" s="5"/>
      <c r="D150" s="5"/>
      <c r="E150" s="5"/>
      <c r="F150" s="4"/>
      <c r="G150" s="4"/>
      <c r="H150" s="4" t="str">
        <f>IF(B150="","",SUMPRODUCT((Movimientos!E$9:E$508=B150)*(Movimientos!C$9:C$508&lt;&gt;"Salida")*Movimientos!H$9:H$508)-SUMPRODUCT((Movimientos!E$9:E$508=B150)*(Movimientos!C$9:C$508="Salida")*Movimientos!H$9:H$508))</f>
        <v/>
      </c>
      <c r="I150" s="4" t="str">
        <f t="shared" si="4"/>
        <v/>
      </c>
    </row>
    <row r="151" spans="2:9" ht="16.5" customHeight="1" x14ac:dyDescent="0.25">
      <c r="B151" s="6"/>
      <c r="C151" s="7"/>
      <c r="D151" s="7"/>
      <c r="E151" s="7"/>
      <c r="F151" s="6"/>
      <c r="G151" s="6"/>
      <c r="H151" s="6" t="str">
        <f>IF(B151="","",SUMPRODUCT((Movimientos!E$9:E$508=B151)*(Movimientos!C$9:C$508&lt;&gt;"Salida")*Movimientos!H$9:H$508)-SUMPRODUCT((Movimientos!E$9:E$508=B151)*(Movimientos!C$9:C$508="Salida")*Movimientos!H$9:H$508))</f>
        <v/>
      </c>
      <c r="I151" s="6" t="str">
        <f t="shared" si="4"/>
        <v/>
      </c>
    </row>
    <row r="152" spans="2:9" ht="16.5" customHeight="1" x14ac:dyDescent="0.25">
      <c r="B152" s="4"/>
      <c r="C152" s="5"/>
      <c r="D152" s="5"/>
      <c r="E152" s="5"/>
      <c r="F152" s="4"/>
      <c r="G152" s="4"/>
      <c r="H152" s="4" t="str">
        <f>IF(B152="","",SUMPRODUCT((Movimientos!E$9:E$508=B152)*(Movimientos!C$9:C$508&lt;&gt;"Salida")*Movimientos!H$9:H$508)-SUMPRODUCT((Movimientos!E$9:E$508=B152)*(Movimientos!C$9:C$508="Salida")*Movimientos!H$9:H$508))</f>
        <v/>
      </c>
      <c r="I152" s="4" t="str">
        <f t="shared" si="4"/>
        <v/>
      </c>
    </row>
    <row r="153" spans="2:9" ht="16.5" customHeight="1" x14ac:dyDescent="0.25">
      <c r="B153" s="6"/>
      <c r="C153" s="7"/>
      <c r="D153" s="7"/>
      <c r="E153" s="7"/>
      <c r="F153" s="6"/>
      <c r="G153" s="6"/>
      <c r="H153" s="6" t="str">
        <f>IF(B153="","",SUMPRODUCT((Movimientos!E$9:E$508=B153)*(Movimientos!C$9:C$508&lt;&gt;"Salida")*Movimientos!H$9:H$508)-SUMPRODUCT((Movimientos!E$9:E$508=B153)*(Movimientos!C$9:C$508="Salida")*Movimientos!H$9:H$508))</f>
        <v/>
      </c>
      <c r="I153" s="6" t="str">
        <f t="shared" si="4"/>
        <v/>
      </c>
    </row>
    <row r="154" spans="2:9" ht="16.5" customHeight="1" x14ac:dyDescent="0.25">
      <c r="B154" s="4"/>
      <c r="C154" s="5"/>
      <c r="D154" s="5"/>
      <c r="E154" s="5"/>
      <c r="F154" s="4"/>
      <c r="G154" s="4"/>
      <c r="H154" s="4" t="str">
        <f>IF(B154="","",SUMPRODUCT((Movimientos!E$9:E$508=B154)*(Movimientos!C$9:C$508&lt;&gt;"Salida")*Movimientos!H$9:H$508)-SUMPRODUCT((Movimientos!E$9:E$508=B154)*(Movimientos!C$9:C$508="Salida")*Movimientos!H$9:H$508))</f>
        <v/>
      </c>
      <c r="I154" s="4" t="str">
        <f t="shared" si="4"/>
        <v/>
      </c>
    </row>
    <row r="155" spans="2:9" ht="16.5" customHeight="1" x14ac:dyDescent="0.25">
      <c r="B155" s="6"/>
      <c r="C155" s="7"/>
      <c r="D155" s="7"/>
      <c r="E155" s="7"/>
      <c r="F155" s="6"/>
      <c r="G155" s="6"/>
      <c r="H155" s="6" t="str">
        <f>IF(B155="","",SUMPRODUCT((Movimientos!E$9:E$508=B155)*(Movimientos!C$9:C$508&lt;&gt;"Salida")*Movimientos!H$9:H$508)-SUMPRODUCT((Movimientos!E$9:E$508=B155)*(Movimientos!C$9:C$508="Salida")*Movimientos!H$9:H$508))</f>
        <v/>
      </c>
      <c r="I155" s="6" t="str">
        <f t="shared" si="4"/>
        <v/>
      </c>
    </row>
    <row r="156" spans="2:9" ht="16.5" customHeight="1" x14ac:dyDescent="0.25">
      <c r="B156" s="4"/>
      <c r="C156" s="5"/>
      <c r="D156" s="5"/>
      <c r="E156" s="5"/>
      <c r="F156" s="4"/>
      <c r="G156" s="4"/>
      <c r="H156" s="4" t="str">
        <f>IF(B156="","",SUMPRODUCT((Movimientos!E$9:E$508=B156)*(Movimientos!C$9:C$508&lt;&gt;"Salida")*Movimientos!H$9:H$508)-SUMPRODUCT((Movimientos!E$9:E$508=B156)*(Movimientos!C$9:C$508="Salida")*Movimientos!H$9:H$508))</f>
        <v/>
      </c>
      <c r="I156" s="4" t="str">
        <f t="shared" si="4"/>
        <v/>
      </c>
    </row>
    <row r="157" spans="2:9" ht="16.5" customHeight="1" x14ac:dyDescent="0.25">
      <c r="B157" s="6"/>
      <c r="C157" s="7"/>
      <c r="D157" s="7"/>
      <c r="E157" s="7"/>
      <c r="F157" s="6"/>
      <c r="G157" s="6"/>
      <c r="H157" s="6" t="str">
        <f>IF(B157="","",SUMPRODUCT((Movimientos!E$9:E$508=B157)*(Movimientos!C$9:C$508&lt;&gt;"Salida")*Movimientos!H$9:H$508)-SUMPRODUCT((Movimientos!E$9:E$508=B157)*(Movimientos!C$9:C$508="Salida")*Movimientos!H$9:H$508))</f>
        <v/>
      </c>
      <c r="I157" s="6" t="str">
        <f t="shared" si="4"/>
        <v/>
      </c>
    </row>
    <row r="158" spans="2:9" ht="16.5" customHeight="1" x14ac:dyDescent="0.25">
      <c r="B158" s="4"/>
      <c r="C158" s="5"/>
      <c r="D158" s="5"/>
      <c r="E158" s="5"/>
      <c r="F158" s="4"/>
      <c r="G158" s="4"/>
      <c r="H158" s="4" t="str">
        <f>IF(B158="","",SUMPRODUCT((Movimientos!E$9:E$508=B158)*(Movimientos!C$9:C$508&lt;&gt;"Salida")*Movimientos!H$9:H$508)-SUMPRODUCT((Movimientos!E$9:E$508=B158)*(Movimientos!C$9:C$508="Salida")*Movimientos!H$9:H$508))</f>
        <v/>
      </c>
      <c r="I158" s="4" t="str">
        <f t="shared" si="4"/>
        <v/>
      </c>
    </row>
    <row r="159" spans="2:9" ht="16.5" customHeight="1" x14ac:dyDescent="0.25">
      <c r="B159" s="6"/>
      <c r="C159" s="7"/>
      <c r="D159" s="7"/>
      <c r="E159" s="7"/>
      <c r="F159" s="6"/>
      <c r="G159" s="6"/>
      <c r="H159" s="6" t="str">
        <f>IF(B159="","",SUMPRODUCT((Movimientos!E$9:E$508=B159)*(Movimientos!C$9:C$508&lt;&gt;"Salida")*Movimientos!H$9:H$508)-SUMPRODUCT((Movimientos!E$9:E$508=B159)*(Movimientos!C$9:C$508="Salida")*Movimientos!H$9:H$508))</f>
        <v/>
      </c>
      <c r="I159" s="6" t="str">
        <f t="shared" si="4"/>
        <v/>
      </c>
    </row>
    <row r="160" spans="2:9" ht="16.5" customHeight="1" x14ac:dyDescent="0.25">
      <c r="B160" s="4"/>
      <c r="C160" s="5"/>
      <c r="D160" s="5"/>
      <c r="E160" s="5"/>
      <c r="F160" s="4"/>
      <c r="G160" s="4"/>
      <c r="H160" s="4" t="str">
        <f>IF(B160="","",SUMPRODUCT((Movimientos!E$9:E$508=B160)*(Movimientos!C$9:C$508&lt;&gt;"Salida")*Movimientos!H$9:H$508)-SUMPRODUCT((Movimientos!E$9:E$508=B160)*(Movimientos!C$9:C$508="Salida")*Movimientos!H$9:H$508))</f>
        <v/>
      </c>
      <c r="I160" s="4" t="str">
        <f t="shared" si="4"/>
        <v/>
      </c>
    </row>
    <row r="161" spans="2:9" ht="16.5" customHeight="1" x14ac:dyDescent="0.25">
      <c r="B161" s="6"/>
      <c r="C161" s="7"/>
      <c r="D161" s="7"/>
      <c r="E161" s="7"/>
      <c r="F161" s="6"/>
      <c r="G161" s="6"/>
      <c r="H161" s="6" t="str">
        <f>IF(B161="","",SUMPRODUCT((Movimientos!E$9:E$508=B161)*(Movimientos!C$9:C$508&lt;&gt;"Salida")*Movimientos!H$9:H$508)-SUMPRODUCT((Movimientos!E$9:E$508=B161)*(Movimientos!C$9:C$508="Salida")*Movimientos!H$9:H$508))</f>
        <v/>
      </c>
      <c r="I161" s="6" t="str">
        <f t="shared" si="4"/>
        <v/>
      </c>
    </row>
    <row r="162" spans="2:9" ht="16.5" customHeight="1" x14ac:dyDescent="0.25">
      <c r="B162" s="4"/>
      <c r="C162" s="5"/>
      <c r="D162" s="5"/>
      <c r="E162" s="5"/>
      <c r="F162" s="4"/>
      <c r="G162" s="4"/>
      <c r="H162" s="4" t="str">
        <f>IF(B162="","",SUMPRODUCT((Movimientos!E$9:E$508=B162)*(Movimientos!C$9:C$508&lt;&gt;"Salida")*Movimientos!H$9:H$508)-SUMPRODUCT((Movimientos!E$9:E$508=B162)*(Movimientos!C$9:C$508="Salida")*Movimientos!H$9:H$508))</f>
        <v/>
      </c>
      <c r="I162" s="4" t="str">
        <f t="shared" si="4"/>
        <v/>
      </c>
    </row>
    <row r="163" spans="2:9" ht="16.5" customHeight="1" x14ac:dyDescent="0.25">
      <c r="B163" s="6"/>
      <c r="C163" s="7"/>
      <c r="D163" s="7"/>
      <c r="E163" s="7"/>
      <c r="F163" s="6"/>
      <c r="G163" s="6"/>
      <c r="H163" s="6" t="str">
        <f>IF(B163="","",SUMPRODUCT((Movimientos!E$9:E$508=B163)*(Movimientos!C$9:C$508&lt;&gt;"Salida")*Movimientos!H$9:H$508)-SUMPRODUCT((Movimientos!E$9:E$508=B163)*(Movimientos!C$9:C$508="Salida")*Movimientos!H$9:H$508))</f>
        <v/>
      </c>
      <c r="I163" s="6" t="str">
        <f t="shared" si="4"/>
        <v/>
      </c>
    </row>
    <row r="164" spans="2:9" ht="16.5" customHeight="1" x14ac:dyDescent="0.25">
      <c r="B164" s="4"/>
      <c r="C164" s="5"/>
      <c r="D164" s="5"/>
      <c r="E164" s="5"/>
      <c r="F164" s="4"/>
      <c r="G164" s="4"/>
      <c r="H164" s="4" t="str">
        <f>IF(B164="","",SUMPRODUCT((Movimientos!E$9:E$508=B164)*(Movimientos!C$9:C$508&lt;&gt;"Salida")*Movimientos!H$9:H$508)-SUMPRODUCT((Movimientos!E$9:E$508=B164)*(Movimientos!C$9:C$508="Salida")*Movimientos!H$9:H$508))</f>
        <v/>
      </c>
      <c r="I164" s="4" t="str">
        <f t="shared" si="4"/>
        <v/>
      </c>
    </row>
    <row r="165" spans="2:9" ht="16.5" customHeight="1" x14ac:dyDescent="0.25">
      <c r="B165" s="6"/>
      <c r="C165" s="7"/>
      <c r="D165" s="7"/>
      <c r="E165" s="7"/>
      <c r="F165" s="6"/>
      <c r="G165" s="6"/>
      <c r="H165" s="6" t="str">
        <f>IF(B165="","",SUMPRODUCT((Movimientos!E$9:E$508=B165)*(Movimientos!C$9:C$508&lt;&gt;"Salida")*Movimientos!H$9:H$508)-SUMPRODUCT((Movimientos!E$9:E$508=B165)*(Movimientos!C$9:C$508="Salida")*Movimientos!H$9:H$508))</f>
        <v/>
      </c>
      <c r="I165" s="6" t="str">
        <f t="shared" si="4"/>
        <v/>
      </c>
    </row>
    <row r="166" spans="2:9" ht="16.5" customHeight="1" x14ac:dyDescent="0.25">
      <c r="B166" s="4"/>
      <c r="C166" s="5"/>
      <c r="D166" s="5"/>
      <c r="E166" s="5"/>
      <c r="F166" s="4"/>
      <c r="G166" s="4"/>
      <c r="H166" s="4" t="str">
        <f>IF(B166="","",SUMPRODUCT((Movimientos!E$9:E$508=B166)*(Movimientos!C$9:C$508&lt;&gt;"Salida")*Movimientos!H$9:H$508)-SUMPRODUCT((Movimientos!E$9:E$508=B166)*(Movimientos!C$9:C$508="Salida")*Movimientos!H$9:H$508))</f>
        <v/>
      </c>
      <c r="I166" s="4" t="str">
        <f t="shared" si="4"/>
        <v/>
      </c>
    </row>
    <row r="167" spans="2:9" ht="16.5" customHeight="1" x14ac:dyDescent="0.25">
      <c r="B167" s="6"/>
      <c r="C167" s="7"/>
      <c r="D167" s="7"/>
      <c r="E167" s="7"/>
      <c r="F167" s="6"/>
      <c r="G167" s="6"/>
      <c r="H167" s="6" t="str">
        <f>IF(B167="","",SUMPRODUCT((Movimientos!E$9:E$508=B167)*(Movimientos!C$9:C$508&lt;&gt;"Salida")*Movimientos!H$9:H$508)-SUMPRODUCT((Movimientos!E$9:E$508=B167)*(Movimientos!C$9:C$508="Salida")*Movimientos!H$9:H$508))</f>
        <v/>
      </c>
      <c r="I167" s="6" t="str">
        <f t="shared" si="4"/>
        <v/>
      </c>
    </row>
    <row r="168" spans="2:9" ht="16.5" customHeight="1" x14ac:dyDescent="0.25">
      <c r="B168" s="4"/>
      <c r="C168" s="5"/>
      <c r="D168" s="5"/>
      <c r="E168" s="5"/>
      <c r="F168" s="4"/>
      <c r="G168" s="4"/>
      <c r="H168" s="4" t="str">
        <f>IF(B168="","",SUMPRODUCT((Movimientos!E$9:E$508=B168)*(Movimientos!C$9:C$508&lt;&gt;"Salida")*Movimientos!H$9:H$508)-SUMPRODUCT((Movimientos!E$9:E$508=B168)*(Movimientos!C$9:C$508="Salida")*Movimientos!H$9:H$508))</f>
        <v/>
      </c>
      <c r="I168" s="4" t="str">
        <f t="shared" si="4"/>
        <v/>
      </c>
    </row>
    <row r="169" spans="2:9" ht="16.5" customHeight="1" x14ac:dyDescent="0.25">
      <c r="B169" s="6"/>
      <c r="C169" s="7"/>
      <c r="D169" s="7"/>
      <c r="E169" s="7"/>
      <c r="F169" s="6"/>
      <c r="G169" s="6"/>
      <c r="H169" s="6" t="str">
        <f>IF(B169="","",SUMPRODUCT((Movimientos!E$9:E$508=B169)*(Movimientos!C$9:C$508&lt;&gt;"Salida")*Movimientos!H$9:H$508)-SUMPRODUCT((Movimientos!E$9:E$508=B169)*(Movimientos!C$9:C$508="Salida")*Movimientos!H$9:H$508))</f>
        <v/>
      </c>
      <c r="I169" s="6" t="str">
        <f t="shared" si="4"/>
        <v/>
      </c>
    </row>
    <row r="170" spans="2:9" ht="16.5" customHeight="1" x14ac:dyDescent="0.25">
      <c r="B170" s="4"/>
      <c r="C170" s="5"/>
      <c r="D170" s="5"/>
      <c r="E170" s="5"/>
      <c r="F170" s="4"/>
      <c r="G170" s="4"/>
      <c r="H170" s="4" t="str">
        <f>IF(B170="","",SUMPRODUCT((Movimientos!E$9:E$508=B170)*(Movimientos!C$9:C$508&lt;&gt;"Salida")*Movimientos!H$9:H$508)-SUMPRODUCT((Movimientos!E$9:E$508=B170)*(Movimientos!C$9:C$508="Salida")*Movimientos!H$9:H$508))</f>
        <v/>
      </c>
      <c r="I170" s="4" t="str">
        <f t="shared" ref="I170:I201" si="5">IF(B170="","",IF(H170=0,"AGOTADO",IF(H170&lt;=G170,"STOCK BAJO","CON STOCK")))</f>
        <v/>
      </c>
    </row>
    <row r="171" spans="2:9" ht="16.5" customHeight="1" x14ac:dyDescent="0.25">
      <c r="B171" s="6"/>
      <c r="C171" s="7"/>
      <c r="D171" s="7"/>
      <c r="E171" s="7"/>
      <c r="F171" s="6"/>
      <c r="G171" s="6"/>
      <c r="H171" s="6" t="str">
        <f>IF(B171="","",SUMPRODUCT((Movimientos!E$9:E$508=B171)*(Movimientos!C$9:C$508&lt;&gt;"Salida")*Movimientos!H$9:H$508)-SUMPRODUCT((Movimientos!E$9:E$508=B171)*(Movimientos!C$9:C$508="Salida")*Movimientos!H$9:H$508))</f>
        <v/>
      </c>
      <c r="I171" s="6" t="str">
        <f t="shared" si="5"/>
        <v/>
      </c>
    </row>
    <row r="172" spans="2:9" ht="16.5" customHeight="1" x14ac:dyDescent="0.25">
      <c r="B172" s="4"/>
      <c r="C172" s="5"/>
      <c r="D172" s="5"/>
      <c r="E172" s="5"/>
      <c r="F172" s="4"/>
      <c r="G172" s="4"/>
      <c r="H172" s="4" t="str">
        <f>IF(B172="","",SUMPRODUCT((Movimientos!E$9:E$508=B172)*(Movimientos!C$9:C$508&lt;&gt;"Salida")*Movimientos!H$9:H$508)-SUMPRODUCT((Movimientos!E$9:E$508=B172)*(Movimientos!C$9:C$508="Salida")*Movimientos!H$9:H$508))</f>
        <v/>
      </c>
      <c r="I172" s="4" t="str">
        <f t="shared" si="5"/>
        <v/>
      </c>
    </row>
    <row r="173" spans="2:9" ht="16.5" customHeight="1" x14ac:dyDescent="0.25">
      <c r="B173" s="6"/>
      <c r="C173" s="7"/>
      <c r="D173" s="7"/>
      <c r="E173" s="7"/>
      <c r="F173" s="6"/>
      <c r="G173" s="6"/>
      <c r="H173" s="6" t="str">
        <f>IF(B173="","",SUMPRODUCT((Movimientos!E$9:E$508=B173)*(Movimientos!C$9:C$508&lt;&gt;"Salida")*Movimientos!H$9:H$508)-SUMPRODUCT((Movimientos!E$9:E$508=B173)*(Movimientos!C$9:C$508="Salida")*Movimientos!H$9:H$508))</f>
        <v/>
      </c>
      <c r="I173" s="6" t="str">
        <f t="shared" si="5"/>
        <v/>
      </c>
    </row>
    <row r="174" spans="2:9" ht="16.5" customHeight="1" x14ac:dyDescent="0.25">
      <c r="B174" s="4"/>
      <c r="C174" s="5"/>
      <c r="D174" s="5"/>
      <c r="E174" s="5"/>
      <c r="F174" s="4"/>
      <c r="G174" s="4"/>
      <c r="H174" s="4" t="str">
        <f>IF(B174="","",SUMPRODUCT((Movimientos!E$9:E$508=B174)*(Movimientos!C$9:C$508&lt;&gt;"Salida")*Movimientos!H$9:H$508)-SUMPRODUCT((Movimientos!E$9:E$508=B174)*(Movimientos!C$9:C$508="Salida")*Movimientos!H$9:H$508))</f>
        <v/>
      </c>
      <c r="I174" s="4" t="str">
        <f t="shared" si="5"/>
        <v/>
      </c>
    </row>
    <row r="175" spans="2:9" ht="16.5" customHeight="1" x14ac:dyDescent="0.25">
      <c r="B175" s="6"/>
      <c r="C175" s="7"/>
      <c r="D175" s="7"/>
      <c r="E175" s="7"/>
      <c r="F175" s="6"/>
      <c r="G175" s="6"/>
      <c r="H175" s="6" t="str">
        <f>IF(B175="","",SUMPRODUCT((Movimientos!E$9:E$508=B175)*(Movimientos!C$9:C$508&lt;&gt;"Salida")*Movimientos!H$9:H$508)-SUMPRODUCT((Movimientos!E$9:E$508=B175)*(Movimientos!C$9:C$508="Salida")*Movimientos!H$9:H$508))</f>
        <v/>
      </c>
      <c r="I175" s="6" t="str">
        <f t="shared" si="5"/>
        <v/>
      </c>
    </row>
    <row r="176" spans="2:9" ht="16.5" customHeight="1" x14ac:dyDescent="0.25">
      <c r="B176" s="4"/>
      <c r="C176" s="5"/>
      <c r="D176" s="5"/>
      <c r="E176" s="5"/>
      <c r="F176" s="4"/>
      <c r="G176" s="4"/>
      <c r="H176" s="4" t="str">
        <f>IF(B176="","",SUMPRODUCT((Movimientos!E$9:E$508=B176)*(Movimientos!C$9:C$508&lt;&gt;"Salida")*Movimientos!H$9:H$508)-SUMPRODUCT((Movimientos!E$9:E$508=B176)*(Movimientos!C$9:C$508="Salida")*Movimientos!H$9:H$508))</f>
        <v/>
      </c>
      <c r="I176" s="4" t="str">
        <f t="shared" si="5"/>
        <v/>
      </c>
    </row>
    <row r="177" spans="2:9" ht="16.5" customHeight="1" x14ac:dyDescent="0.25">
      <c r="B177" s="6"/>
      <c r="C177" s="7"/>
      <c r="D177" s="7"/>
      <c r="E177" s="7"/>
      <c r="F177" s="6"/>
      <c r="G177" s="6"/>
      <c r="H177" s="6" t="str">
        <f>IF(B177="","",SUMPRODUCT((Movimientos!E$9:E$508=B177)*(Movimientos!C$9:C$508&lt;&gt;"Salida")*Movimientos!H$9:H$508)-SUMPRODUCT((Movimientos!E$9:E$508=B177)*(Movimientos!C$9:C$508="Salida")*Movimientos!H$9:H$508))</f>
        <v/>
      </c>
      <c r="I177" s="6" t="str">
        <f t="shared" si="5"/>
        <v/>
      </c>
    </row>
    <row r="178" spans="2:9" ht="16.5" customHeight="1" x14ac:dyDescent="0.25">
      <c r="B178" s="4"/>
      <c r="C178" s="5"/>
      <c r="D178" s="5"/>
      <c r="E178" s="5"/>
      <c r="F178" s="4"/>
      <c r="G178" s="4"/>
      <c r="H178" s="4" t="str">
        <f>IF(B178="","",SUMPRODUCT((Movimientos!E$9:E$508=B178)*(Movimientos!C$9:C$508&lt;&gt;"Salida")*Movimientos!H$9:H$508)-SUMPRODUCT((Movimientos!E$9:E$508=B178)*(Movimientos!C$9:C$508="Salida")*Movimientos!H$9:H$508))</f>
        <v/>
      </c>
      <c r="I178" s="4" t="str">
        <f t="shared" si="5"/>
        <v/>
      </c>
    </row>
    <row r="179" spans="2:9" ht="16.5" customHeight="1" x14ac:dyDescent="0.25">
      <c r="B179" s="6"/>
      <c r="C179" s="7"/>
      <c r="D179" s="7"/>
      <c r="E179" s="7"/>
      <c r="F179" s="6"/>
      <c r="G179" s="6"/>
      <c r="H179" s="6" t="str">
        <f>IF(B179="","",SUMPRODUCT((Movimientos!E$9:E$508=B179)*(Movimientos!C$9:C$508&lt;&gt;"Salida")*Movimientos!H$9:H$508)-SUMPRODUCT((Movimientos!E$9:E$508=B179)*(Movimientos!C$9:C$508="Salida")*Movimientos!H$9:H$508))</f>
        <v/>
      </c>
      <c r="I179" s="6" t="str">
        <f t="shared" si="5"/>
        <v/>
      </c>
    </row>
    <row r="180" spans="2:9" ht="16.5" customHeight="1" x14ac:dyDescent="0.25">
      <c r="B180" s="4"/>
      <c r="C180" s="5"/>
      <c r="D180" s="5"/>
      <c r="E180" s="5"/>
      <c r="F180" s="4"/>
      <c r="G180" s="4"/>
      <c r="H180" s="4" t="str">
        <f>IF(B180="","",SUMPRODUCT((Movimientos!E$9:E$508=B180)*(Movimientos!C$9:C$508&lt;&gt;"Salida")*Movimientos!H$9:H$508)-SUMPRODUCT((Movimientos!E$9:E$508=B180)*(Movimientos!C$9:C$508="Salida")*Movimientos!H$9:H$508))</f>
        <v/>
      </c>
      <c r="I180" s="4" t="str">
        <f t="shared" si="5"/>
        <v/>
      </c>
    </row>
    <row r="181" spans="2:9" ht="16.5" customHeight="1" x14ac:dyDescent="0.25">
      <c r="B181" s="6"/>
      <c r="C181" s="7"/>
      <c r="D181" s="7"/>
      <c r="E181" s="7"/>
      <c r="F181" s="6"/>
      <c r="G181" s="6"/>
      <c r="H181" s="6" t="str">
        <f>IF(B181="","",SUMPRODUCT((Movimientos!E$9:E$508=B181)*(Movimientos!C$9:C$508&lt;&gt;"Salida")*Movimientos!H$9:H$508)-SUMPRODUCT((Movimientos!E$9:E$508=B181)*(Movimientos!C$9:C$508="Salida")*Movimientos!H$9:H$508))</f>
        <v/>
      </c>
      <c r="I181" s="6" t="str">
        <f t="shared" si="5"/>
        <v/>
      </c>
    </row>
    <row r="182" spans="2:9" ht="16.5" customHeight="1" x14ac:dyDescent="0.25">
      <c r="B182" s="4"/>
      <c r="C182" s="5"/>
      <c r="D182" s="5"/>
      <c r="E182" s="5"/>
      <c r="F182" s="4"/>
      <c r="G182" s="4"/>
      <c r="H182" s="4" t="str">
        <f>IF(B182="","",SUMPRODUCT((Movimientos!E$9:E$508=B182)*(Movimientos!C$9:C$508&lt;&gt;"Salida")*Movimientos!H$9:H$508)-SUMPRODUCT((Movimientos!E$9:E$508=B182)*(Movimientos!C$9:C$508="Salida")*Movimientos!H$9:H$508))</f>
        <v/>
      </c>
      <c r="I182" s="4" t="str">
        <f t="shared" si="5"/>
        <v/>
      </c>
    </row>
    <row r="183" spans="2:9" ht="16.5" customHeight="1" x14ac:dyDescent="0.25">
      <c r="B183" s="6"/>
      <c r="C183" s="7"/>
      <c r="D183" s="7"/>
      <c r="E183" s="7"/>
      <c r="F183" s="6"/>
      <c r="G183" s="6"/>
      <c r="H183" s="6" t="str">
        <f>IF(B183="","",SUMPRODUCT((Movimientos!E$9:E$508=B183)*(Movimientos!C$9:C$508&lt;&gt;"Salida")*Movimientos!H$9:H$508)-SUMPRODUCT((Movimientos!E$9:E$508=B183)*(Movimientos!C$9:C$508="Salida")*Movimientos!H$9:H$508))</f>
        <v/>
      </c>
      <c r="I183" s="6" t="str">
        <f t="shared" si="5"/>
        <v/>
      </c>
    </row>
    <row r="184" spans="2:9" ht="16.5" customHeight="1" x14ac:dyDescent="0.25">
      <c r="B184" s="4"/>
      <c r="C184" s="5"/>
      <c r="D184" s="5"/>
      <c r="E184" s="5"/>
      <c r="F184" s="4"/>
      <c r="G184" s="4"/>
      <c r="H184" s="4" t="str">
        <f>IF(B184="","",SUMPRODUCT((Movimientos!E$9:E$508=B184)*(Movimientos!C$9:C$508&lt;&gt;"Salida")*Movimientos!H$9:H$508)-SUMPRODUCT((Movimientos!E$9:E$508=B184)*(Movimientos!C$9:C$508="Salida")*Movimientos!H$9:H$508))</f>
        <v/>
      </c>
      <c r="I184" s="4" t="str">
        <f t="shared" si="5"/>
        <v/>
      </c>
    </row>
    <row r="185" spans="2:9" ht="16.5" customHeight="1" x14ac:dyDescent="0.25">
      <c r="B185" s="6"/>
      <c r="C185" s="7"/>
      <c r="D185" s="7"/>
      <c r="E185" s="7"/>
      <c r="F185" s="6"/>
      <c r="G185" s="6"/>
      <c r="H185" s="6" t="str">
        <f>IF(B185="","",SUMPRODUCT((Movimientos!E$9:E$508=B185)*(Movimientos!C$9:C$508&lt;&gt;"Salida")*Movimientos!H$9:H$508)-SUMPRODUCT((Movimientos!E$9:E$508=B185)*(Movimientos!C$9:C$508="Salida")*Movimientos!H$9:H$508))</f>
        <v/>
      </c>
      <c r="I185" s="6" t="str">
        <f t="shared" si="5"/>
        <v/>
      </c>
    </row>
    <row r="186" spans="2:9" ht="16.5" customHeight="1" x14ac:dyDescent="0.25">
      <c r="B186" s="4"/>
      <c r="C186" s="5"/>
      <c r="D186" s="5"/>
      <c r="E186" s="5"/>
      <c r="F186" s="4"/>
      <c r="G186" s="4"/>
      <c r="H186" s="4" t="str">
        <f>IF(B186="","",SUMPRODUCT((Movimientos!E$9:E$508=B186)*(Movimientos!C$9:C$508&lt;&gt;"Salida")*Movimientos!H$9:H$508)-SUMPRODUCT((Movimientos!E$9:E$508=B186)*(Movimientos!C$9:C$508="Salida")*Movimientos!H$9:H$508))</f>
        <v/>
      </c>
      <c r="I186" s="4" t="str">
        <f t="shared" si="5"/>
        <v/>
      </c>
    </row>
    <row r="187" spans="2:9" ht="16.5" customHeight="1" x14ac:dyDescent="0.25">
      <c r="B187" s="6"/>
      <c r="C187" s="7"/>
      <c r="D187" s="7"/>
      <c r="E187" s="7"/>
      <c r="F187" s="6"/>
      <c r="G187" s="6"/>
      <c r="H187" s="6" t="str">
        <f>IF(B187="","",SUMPRODUCT((Movimientos!E$9:E$508=B187)*(Movimientos!C$9:C$508&lt;&gt;"Salida")*Movimientos!H$9:H$508)-SUMPRODUCT((Movimientos!E$9:E$508=B187)*(Movimientos!C$9:C$508="Salida")*Movimientos!H$9:H$508))</f>
        <v/>
      </c>
      <c r="I187" s="6" t="str">
        <f t="shared" si="5"/>
        <v/>
      </c>
    </row>
    <row r="188" spans="2:9" ht="16.5" customHeight="1" x14ac:dyDescent="0.25">
      <c r="B188" s="4"/>
      <c r="C188" s="5"/>
      <c r="D188" s="5"/>
      <c r="E188" s="5"/>
      <c r="F188" s="4"/>
      <c r="G188" s="4"/>
      <c r="H188" s="4" t="str">
        <f>IF(B188="","",SUMPRODUCT((Movimientos!E$9:E$508=B188)*(Movimientos!C$9:C$508&lt;&gt;"Salida")*Movimientos!H$9:H$508)-SUMPRODUCT((Movimientos!E$9:E$508=B188)*(Movimientos!C$9:C$508="Salida")*Movimientos!H$9:H$508))</f>
        <v/>
      </c>
      <c r="I188" s="4" t="str">
        <f t="shared" si="5"/>
        <v/>
      </c>
    </row>
    <row r="189" spans="2:9" ht="16.5" customHeight="1" x14ac:dyDescent="0.25">
      <c r="B189" s="6"/>
      <c r="C189" s="7"/>
      <c r="D189" s="7"/>
      <c r="E189" s="7"/>
      <c r="F189" s="6"/>
      <c r="G189" s="6"/>
      <c r="H189" s="6" t="str">
        <f>IF(B189="","",SUMPRODUCT((Movimientos!E$9:E$508=B189)*(Movimientos!C$9:C$508&lt;&gt;"Salida")*Movimientos!H$9:H$508)-SUMPRODUCT((Movimientos!E$9:E$508=B189)*(Movimientos!C$9:C$508="Salida")*Movimientos!H$9:H$508))</f>
        <v/>
      </c>
      <c r="I189" s="6" t="str">
        <f t="shared" si="5"/>
        <v/>
      </c>
    </row>
    <row r="190" spans="2:9" ht="16.5" customHeight="1" x14ac:dyDescent="0.25">
      <c r="B190" s="4"/>
      <c r="C190" s="5"/>
      <c r="D190" s="5"/>
      <c r="E190" s="5"/>
      <c r="F190" s="4"/>
      <c r="G190" s="4"/>
      <c r="H190" s="4" t="str">
        <f>IF(B190="","",SUMPRODUCT((Movimientos!E$9:E$508=B190)*(Movimientos!C$9:C$508&lt;&gt;"Salida")*Movimientos!H$9:H$508)-SUMPRODUCT((Movimientos!E$9:E$508=B190)*(Movimientos!C$9:C$508="Salida")*Movimientos!H$9:H$508))</f>
        <v/>
      </c>
      <c r="I190" s="4" t="str">
        <f t="shared" si="5"/>
        <v/>
      </c>
    </row>
    <row r="191" spans="2:9" ht="16.5" customHeight="1" x14ac:dyDescent="0.25">
      <c r="B191" s="6"/>
      <c r="C191" s="7"/>
      <c r="D191" s="7"/>
      <c r="E191" s="7"/>
      <c r="F191" s="6"/>
      <c r="G191" s="6"/>
      <c r="H191" s="6" t="str">
        <f>IF(B191="","",SUMPRODUCT((Movimientos!E$9:E$508=B191)*(Movimientos!C$9:C$508&lt;&gt;"Salida")*Movimientos!H$9:H$508)-SUMPRODUCT((Movimientos!E$9:E$508=B191)*(Movimientos!C$9:C$508="Salida")*Movimientos!H$9:H$508))</f>
        <v/>
      </c>
      <c r="I191" s="6" t="str">
        <f t="shared" si="5"/>
        <v/>
      </c>
    </row>
    <row r="192" spans="2:9" ht="16.5" customHeight="1" x14ac:dyDescent="0.25">
      <c r="B192" s="4"/>
      <c r="C192" s="5"/>
      <c r="D192" s="5"/>
      <c r="E192" s="5"/>
      <c r="F192" s="4"/>
      <c r="G192" s="4"/>
      <c r="H192" s="4" t="str">
        <f>IF(B192="","",SUMPRODUCT((Movimientos!E$9:E$508=B192)*(Movimientos!C$9:C$508&lt;&gt;"Salida")*Movimientos!H$9:H$508)-SUMPRODUCT((Movimientos!E$9:E$508=B192)*(Movimientos!C$9:C$508="Salida")*Movimientos!H$9:H$508))</f>
        <v/>
      </c>
      <c r="I192" s="4" t="str">
        <f t="shared" si="5"/>
        <v/>
      </c>
    </row>
    <row r="193" spans="2:9" ht="16.5" customHeight="1" x14ac:dyDescent="0.25">
      <c r="B193" s="6"/>
      <c r="C193" s="7"/>
      <c r="D193" s="7"/>
      <c r="E193" s="7"/>
      <c r="F193" s="6"/>
      <c r="G193" s="6"/>
      <c r="H193" s="6" t="str">
        <f>IF(B193="","",SUMPRODUCT((Movimientos!E$9:E$508=B193)*(Movimientos!C$9:C$508&lt;&gt;"Salida")*Movimientos!H$9:H$508)-SUMPRODUCT((Movimientos!E$9:E$508=B193)*(Movimientos!C$9:C$508="Salida")*Movimientos!H$9:H$508))</f>
        <v/>
      </c>
      <c r="I193" s="6" t="str">
        <f t="shared" si="5"/>
        <v/>
      </c>
    </row>
    <row r="194" spans="2:9" ht="16.5" customHeight="1" x14ac:dyDescent="0.25">
      <c r="B194" s="4"/>
      <c r="C194" s="5"/>
      <c r="D194" s="5"/>
      <c r="E194" s="5"/>
      <c r="F194" s="4"/>
      <c r="G194" s="4"/>
      <c r="H194" s="4" t="str">
        <f>IF(B194="","",SUMPRODUCT((Movimientos!E$9:E$508=B194)*(Movimientos!C$9:C$508&lt;&gt;"Salida")*Movimientos!H$9:H$508)-SUMPRODUCT((Movimientos!E$9:E$508=B194)*(Movimientos!C$9:C$508="Salida")*Movimientos!H$9:H$508))</f>
        <v/>
      </c>
      <c r="I194" s="4" t="str">
        <f t="shared" si="5"/>
        <v/>
      </c>
    </row>
    <row r="195" spans="2:9" ht="16.5" customHeight="1" x14ac:dyDescent="0.25">
      <c r="B195" s="6"/>
      <c r="C195" s="7"/>
      <c r="D195" s="7"/>
      <c r="E195" s="7"/>
      <c r="F195" s="6"/>
      <c r="G195" s="6"/>
      <c r="H195" s="6" t="str">
        <f>IF(B195="","",SUMPRODUCT((Movimientos!E$9:E$508=B195)*(Movimientos!C$9:C$508&lt;&gt;"Salida")*Movimientos!H$9:H$508)-SUMPRODUCT((Movimientos!E$9:E$508=B195)*(Movimientos!C$9:C$508="Salida")*Movimientos!H$9:H$508))</f>
        <v/>
      </c>
      <c r="I195" s="6" t="str">
        <f t="shared" si="5"/>
        <v/>
      </c>
    </row>
    <row r="196" spans="2:9" ht="16.5" customHeight="1" x14ac:dyDescent="0.25">
      <c r="B196" s="4"/>
      <c r="C196" s="5"/>
      <c r="D196" s="5"/>
      <c r="E196" s="5"/>
      <c r="F196" s="4"/>
      <c r="G196" s="4"/>
      <c r="H196" s="4" t="str">
        <f>IF(B196="","",SUMPRODUCT((Movimientos!E$9:E$508=B196)*(Movimientos!C$9:C$508&lt;&gt;"Salida")*Movimientos!H$9:H$508)-SUMPRODUCT((Movimientos!E$9:E$508=B196)*(Movimientos!C$9:C$508="Salida")*Movimientos!H$9:H$508))</f>
        <v/>
      </c>
      <c r="I196" s="4" t="str">
        <f t="shared" si="5"/>
        <v/>
      </c>
    </row>
    <row r="197" spans="2:9" ht="16.5" customHeight="1" x14ac:dyDescent="0.25">
      <c r="B197" s="6"/>
      <c r="C197" s="7"/>
      <c r="D197" s="7"/>
      <c r="E197" s="7"/>
      <c r="F197" s="6"/>
      <c r="G197" s="6"/>
      <c r="H197" s="6" t="str">
        <f>IF(B197="","",SUMPRODUCT((Movimientos!E$9:E$508=B197)*(Movimientos!C$9:C$508&lt;&gt;"Salida")*Movimientos!H$9:H$508)-SUMPRODUCT((Movimientos!E$9:E$508=B197)*(Movimientos!C$9:C$508="Salida")*Movimientos!H$9:H$508))</f>
        <v/>
      </c>
      <c r="I197" s="6" t="str">
        <f t="shared" si="5"/>
        <v/>
      </c>
    </row>
    <row r="198" spans="2:9" ht="16.5" customHeight="1" x14ac:dyDescent="0.25">
      <c r="B198" s="4"/>
      <c r="C198" s="5"/>
      <c r="D198" s="5"/>
      <c r="E198" s="5"/>
      <c r="F198" s="4"/>
      <c r="G198" s="4"/>
      <c r="H198" s="4" t="str">
        <f>IF(B198="","",SUMPRODUCT((Movimientos!E$9:E$508=B198)*(Movimientos!C$9:C$508&lt;&gt;"Salida")*Movimientos!H$9:H$508)-SUMPRODUCT((Movimientos!E$9:E$508=B198)*(Movimientos!C$9:C$508="Salida")*Movimientos!H$9:H$508))</f>
        <v/>
      </c>
      <c r="I198" s="4" t="str">
        <f t="shared" si="5"/>
        <v/>
      </c>
    </row>
    <row r="199" spans="2:9" ht="16.5" customHeight="1" x14ac:dyDescent="0.25">
      <c r="B199" s="6"/>
      <c r="C199" s="7"/>
      <c r="D199" s="7"/>
      <c r="E199" s="7"/>
      <c r="F199" s="6"/>
      <c r="G199" s="6"/>
      <c r="H199" s="6" t="str">
        <f>IF(B199="","",SUMPRODUCT((Movimientos!E$9:E$508=B199)*(Movimientos!C$9:C$508&lt;&gt;"Salida")*Movimientos!H$9:H$508)-SUMPRODUCT((Movimientos!E$9:E$508=B199)*(Movimientos!C$9:C$508="Salida")*Movimientos!H$9:H$508))</f>
        <v/>
      </c>
      <c r="I199" s="6" t="str">
        <f t="shared" si="5"/>
        <v/>
      </c>
    </row>
    <row r="200" spans="2:9" ht="16.5" customHeight="1" x14ac:dyDescent="0.25">
      <c r="B200" s="4"/>
      <c r="C200" s="5"/>
      <c r="D200" s="5"/>
      <c r="E200" s="5"/>
      <c r="F200" s="4"/>
      <c r="G200" s="4"/>
      <c r="H200" s="4" t="str">
        <f>IF(B200="","",SUMPRODUCT((Movimientos!E$9:E$508=B200)*(Movimientos!C$9:C$508&lt;&gt;"Salida")*Movimientos!H$9:H$508)-SUMPRODUCT((Movimientos!E$9:E$508=B200)*(Movimientos!C$9:C$508="Salida")*Movimientos!H$9:H$508))</f>
        <v/>
      </c>
      <c r="I200" s="4" t="str">
        <f t="shared" si="5"/>
        <v/>
      </c>
    </row>
    <row r="201" spans="2:9" ht="16.5" customHeight="1" x14ac:dyDescent="0.25">
      <c r="B201" s="6"/>
      <c r="C201" s="7"/>
      <c r="D201" s="7"/>
      <c r="E201" s="7"/>
      <c r="F201" s="6"/>
      <c r="G201" s="6"/>
      <c r="H201" s="6" t="str">
        <f>IF(B201="","",SUMPRODUCT((Movimientos!E$9:E$508=B201)*(Movimientos!C$9:C$508&lt;&gt;"Salida")*Movimientos!H$9:H$508)-SUMPRODUCT((Movimientos!E$9:E$508=B201)*(Movimientos!C$9:C$508="Salida")*Movimientos!H$9:H$508))</f>
        <v/>
      </c>
      <c r="I201" s="6" t="str">
        <f t="shared" si="5"/>
        <v/>
      </c>
    </row>
    <row r="202" spans="2:9" ht="16.5" customHeight="1" x14ac:dyDescent="0.25">
      <c r="B202" s="4"/>
      <c r="C202" s="5"/>
      <c r="D202" s="5"/>
      <c r="E202" s="5"/>
      <c r="F202" s="4"/>
      <c r="G202" s="4"/>
      <c r="H202" s="4" t="str">
        <f>IF(B202="","",SUMPRODUCT((Movimientos!E$9:E$508=B202)*(Movimientos!C$9:C$508&lt;&gt;"Salida")*Movimientos!H$9:H$508)-SUMPRODUCT((Movimientos!E$9:E$508=B202)*(Movimientos!C$9:C$508="Salida")*Movimientos!H$9:H$508))</f>
        <v/>
      </c>
      <c r="I202" s="4" t="str">
        <f t="shared" ref="I202:I209" si="6">IF(B202="","",IF(H202=0,"AGOTADO",IF(H202&lt;=G202,"STOCK BAJO","CON STOCK")))</f>
        <v/>
      </c>
    </row>
    <row r="203" spans="2:9" ht="16.5" customHeight="1" x14ac:dyDescent="0.25">
      <c r="B203" s="6"/>
      <c r="C203" s="7"/>
      <c r="D203" s="7"/>
      <c r="E203" s="7"/>
      <c r="F203" s="6"/>
      <c r="G203" s="6"/>
      <c r="H203" s="6" t="str">
        <f>IF(B203="","",SUMPRODUCT((Movimientos!E$9:E$508=B203)*(Movimientos!C$9:C$508&lt;&gt;"Salida")*Movimientos!H$9:H$508)-SUMPRODUCT((Movimientos!E$9:E$508=B203)*(Movimientos!C$9:C$508="Salida")*Movimientos!H$9:H$508))</f>
        <v/>
      </c>
      <c r="I203" s="6" t="str">
        <f t="shared" si="6"/>
        <v/>
      </c>
    </row>
    <row r="204" spans="2:9" ht="16.5" customHeight="1" x14ac:dyDescent="0.25">
      <c r="B204" s="4"/>
      <c r="C204" s="5"/>
      <c r="D204" s="5"/>
      <c r="E204" s="5"/>
      <c r="F204" s="4"/>
      <c r="G204" s="4"/>
      <c r="H204" s="4" t="str">
        <f>IF(B204="","",SUMPRODUCT((Movimientos!E$9:E$508=B204)*(Movimientos!C$9:C$508&lt;&gt;"Salida")*Movimientos!H$9:H$508)-SUMPRODUCT((Movimientos!E$9:E$508=B204)*(Movimientos!C$9:C$508="Salida")*Movimientos!H$9:H$508))</f>
        <v/>
      </c>
      <c r="I204" s="4" t="str">
        <f t="shared" si="6"/>
        <v/>
      </c>
    </row>
    <row r="205" spans="2:9" ht="16.5" customHeight="1" x14ac:dyDescent="0.25">
      <c r="B205" s="6"/>
      <c r="C205" s="7"/>
      <c r="D205" s="7"/>
      <c r="E205" s="7"/>
      <c r="F205" s="6"/>
      <c r="G205" s="6"/>
      <c r="H205" s="6" t="str">
        <f>IF(B205="","",SUMPRODUCT((Movimientos!E$9:E$508=B205)*(Movimientos!C$9:C$508&lt;&gt;"Salida")*Movimientos!H$9:H$508)-SUMPRODUCT((Movimientos!E$9:E$508=B205)*(Movimientos!C$9:C$508="Salida")*Movimientos!H$9:H$508))</f>
        <v/>
      </c>
      <c r="I205" s="6" t="str">
        <f t="shared" si="6"/>
        <v/>
      </c>
    </row>
    <row r="206" spans="2:9" ht="16.5" customHeight="1" x14ac:dyDescent="0.25">
      <c r="B206" s="4"/>
      <c r="C206" s="5"/>
      <c r="D206" s="5"/>
      <c r="E206" s="5"/>
      <c r="F206" s="4"/>
      <c r="G206" s="4"/>
      <c r="H206" s="4" t="str">
        <f>IF(B206="","",SUMPRODUCT((Movimientos!E$9:E$508=B206)*(Movimientos!C$9:C$508&lt;&gt;"Salida")*Movimientos!H$9:H$508)-SUMPRODUCT((Movimientos!E$9:E$508=B206)*(Movimientos!C$9:C$508="Salida")*Movimientos!H$9:H$508))</f>
        <v/>
      </c>
      <c r="I206" s="4" t="str">
        <f t="shared" si="6"/>
        <v/>
      </c>
    </row>
    <row r="207" spans="2:9" ht="16.5" customHeight="1" x14ac:dyDescent="0.25">
      <c r="B207" s="6"/>
      <c r="C207" s="7"/>
      <c r="D207" s="7"/>
      <c r="E207" s="7"/>
      <c r="F207" s="6"/>
      <c r="G207" s="6"/>
      <c r="H207" s="6" t="str">
        <f>IF(B207="","",SUMPRODUCT((Movimientos!E$9:E$508=B207)*(Movimientos!C$9:C$508&lt;&gt;"Salida")*Movimientos!H$9:H$508)-SUMPRODUCT((Movimientos!E$9:E$508=B207)*(Movimientos!C$9:C$508="Salida")*Movimientos!H$9:H$508))</f>
        <v/>
      </c>
      <c r="I207" s="6" t="str">
        <f t="shared" si="6"/>
        <v/>
      </c>
    </row>
    <row r="208" spans="2:9" ht="16.5" customHeight="1" x14ac:dyDescent="0.25">
      <c r="B208" s="4"/>
      <c r="C208" s="5"/>
      <c r="D208" s="5"/>
      <c r="E208" s="5"/>
      <c r="F208" s="4"/>
      <c r="G208" s="4"/>
      <c r="H208" s="4" t="str">
        <f>IF(B208="","",SUMPRODUCT((Movimientos!E$9:E$508=B208)*(Movimientos!C$9:C$508&lt;&gt;"Salida")*Movimientos!H$9:H$508)-SUMPRODUCT((Movimientos!E$9:E$508=B208)*(Movimientos!C$9:C$508="Salida")*Movimientos!H$9:H$508))</f>
        <v/>
      </c>
      <c r="I208" s="4" t="str">
        <f t="shared" si="6"/>
        <v/>
      </c>
    </row>
    <row r="209" spans="2:9" ht="16.5" customHeight="1" x14ac:dyDescent="0.25">
      <c r="B209" s="6"/>
      <c r="C209" s="7"/>
      <c r="D209" s="7"/>
      <c r="E209" s="7"/>
      <c r="F209" s="6"/>
      <c r="G209" s="6"/>
      <c r="H209" s="6" t="str">
        <f>IF(B209="","",SUMPRODUCT((Movimientos!E$9:E$508=B209)*(Movimientos!C$9:C$508&lt;&gt;"Salida")*Movimientos!H$9:H$508)-SUMPRODUCT((Movimientos!E$9:E$508=B209)*(Movimientos!C$9:C$508="Salida")*Movimientos!H$9:H$508))</f>
        <v/>
      </c>
      <c r="I209" s="6" t="str">
        <f t="shared" si="6"/>
        <v/>
      </c>
    </row>
  </sheetData>
  <mergeCells count="10">
    <mergeCell ref="B5:C5"/>
    <mergeCell ref="D5:E5"/>
    <mergeCell ref="F5:G5"/>
    <mergeCell ref="H5:I5"/>
    <mergeCell ref="B7:I7"/>
    <mergeCell ref="B2:I3"/>
    <mergeCell ref="B4:C4"/>
    <mergeCell ref="D4:E4"/>
    <mergeCell ref="F4:G4"/>
    <mergeCell ref="H4:I4"/>
  </mergeCells>
  <conditionalFormatting sqref="I10:I209">
    <cfRule type="expression" dxfId="2" priority="2">
      <formula>I10="AGOTADO"</formula>
    </cfRule>
    <cfRule type="expression" dxfId="1" priority="3">
      <formula>I10="STOCK BAJO"</formula>
    </cfRule>
    <cfRule type="expression" dxfId="0" priority="4">
      <formula>I10="CON STOCK"</formula>
    </cfRule>
  </conditionalFormatting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74C69D"/>
  </sheetPr>
  <dimension ref="B1:V508"/>
  <sheetViews>
    <sheetView showGridLines="0" zoomScaleNormal="100" workbookViewId="0">
      <pane xSplit="1" ySplit="8" topLeftCell="B15" activePane="bottomRight" state="frozen"/>
      <selection pane="topRight" activeCell="B1" sqref="B1"/>
      <selection pane="bottomLeft" activeCell="A9" sqref="A9"/>
      <selection pane="bottomRight" activeCell="E32" sqref="E32"/>
    </sheetView>
  </sheetViews>
  <sheetFormatPr baseColWidth="10" defaultColWidth="8.7109375" defaultRowHeight="15" x14ac:dyDescent="0.25"/>
  <cols>
    <col min="1" max="1" width="2" customWidth="1"/>
    <col min="2" max="2" width="12" customWidth="1"/>
    <col min="3" max="5" width="14" customWidth="1"/>
    <col min="6" max="6" width="20" customWidth="1"/>
    <col min="7" max="7" width="16" customWidth="1"/>
    <col min="8" max="9" width="12" customWidth="1"/>
    <col min="10" max="10" width="2" customWidth="1"/>
  </cols>
  <sheetData>
    <row r="1" spans="2:9" ht="7.5" customHeight="1" x14ac:dyDescent="0.25"/>
    <row r="2" spans="2:9" ht="7.5" customHeight="1" x14ac:dyDescent="0.25">
      <c r="B2" s="12" t="s">
        <v>60</v>
      </c>
      <c r="C2" s="12"/>
      <c r="D2" s="12"/>
      <c r="E2" s="12"/>
      <c r="F2" s="12"/>
      <c r="G2" s="12"/>
      <c r="H2" s="12"/>
      <c r="I2" s="12"/>
    </row>
    <row r="3" spans="2:9" ht="31.5" customHeight="1" x14ac:dyDescent="0.25">
      <c r="B3" s="12"/>
      <c r="C3" s="12"/>
      <c r="D3" s="12"/>
      <c r="E3" s="12"/>
      <c r="F3" s="12"/>
      <c r="G3" s="12"/>
      <c r="H3" s="12"/>
      <c r="I3" s="12"/>
    </row>
    <row r="4" spans="2:9" ht="21.75" customHeight="1" x14ac:dyDescent="0.25">
      <c r="B4" s="13" t="s">
        <v>61</v>
      </c>
      <c r="C4" s="13"/>
      <c r="D4" s="14" t="s">
        <v>62</v>
      </c>
      <c r="E4" s="14"/>
      <c r="F4" s="15" t="s">
        <v>63</v>
      </c>
      <c r="G4" s="15"/>
      <c r="H4" s="16" t="s">
        <v>64</v>
      </c>
      <c r="I4" s="16"/>
    </row>
    <row r="5" spans="2:9" ht="30" customHeight="1" x14ac:dyDescent="0.25">
      <c r="B5" s="17">
        <f>COUNTA(B9:B508)</f>
        <v>22</v>
      </c>
      <c r="C5" s="17"/>
      <c r="D5" s="18">
        <f>COUNTIF(C9:C508,"Ingreso")</f>
        <v>8</v>
      </c>
      <c r="E5" s="18"/>
      <c r="F5" s="19">
        <f>COUNTIF(C9:C508,"Salida")</f>
        <v>6</v>
      </c>
      <c r="G5" s="19"/>
      <c r="H5" s="20">
        <f>COUNTIF(C9:C508,"Existencia")</f>
        <v>8</v>
      </c>
      <c r="I5" s="20"/>
    </row>
    <row r="6" spans="2:9" ht="7.5" customHeight="1" x14ac:dyDescent="0.25"/>
    <row r="7" spans="2:9" ht="15.75" customHeight="1" x14ac:dyDescent="0.25">
      <c r="B7" s="21" t="s">
        <v>65</v>
      </c>
      <c r="C7" s="21"/>
      <c r="D7" s="21"/>
      <c r="E7" s="21"/>
      <c r="F7" s="21"/>
      <c r="G7" s="21"/>
      <c r="H7" s="21"/>
      <c r="I7" s="21"/>
    </row>
    <row r="8" spans="2:9" ht="21.75" customHeight="1" x14ac:dyDescent="0.25">
      <c r="B8" s="3" t="s">
        <v>66</v>
      </c>
      <c r="C8" s="3" t="s">
        <v>67</v>
      </c>
      <c r="D8" s="3" t="s">
        <v>68</v>
      </c>
      <c r="E8" s="3" t="s">
        <v>18</v>
      </c>
      <c r="F8" s="3" t="s">
        <v>19</v>
      </c>
      <c r="G8" s="3" t="s">
        <v>7</v>
      </c>
      <c r="H8" s="3" t="s">
        <v>69</v>
      </c>
      <c r="I8" s="3" t="s">
        <v>70</v>
      </c>
    </row>
    <row r="9" spans="2:9" ht="16.5" customHeight="1" x14ac:dyDescent="0.25">
      <c r="B9" s="6" t="s">
        <v>71</v>
      </c>
      <c r="C9" s="6" t="s">
        <v>72</v>
      </c>
      <c r="D9" s="6" t="s">
        <v>73</v>
      </c>
      <c r="E9" s="6" t="s">
        <v>28</v>
      </c>
      <c r="F9" s="7" t="str">
        <f>IFERROR(IF(E9="","",VLOOKUP(E9,Catalogo!$B$10:$D$209,2,0)),"")</f>
        <v>TROFEO 35,5</v>
      </c>
      <c r="G9" s="7" t="str">
        <f>IFERROR(IF(E9="","",VLOOKUP(E9,Catalogo!$B$10:$D$209,3,0)),"")</f>
        <v>COPA ABIERTO</v>
      </c>
      <c r="H9" s="6">
        <v>1</v>
      </c>
      <c r="I9" s="6">
        <f>IF(E9="","",SUMPRODUCT((E$9:E9=E9)*(C$9:C9&lt;&gt;"Salida")*H$9:H9)-SUMPRODUCT((E$9:E9=E9)*(C$9:C9="Salida")*H$9:H9))</f>
        <v>1</v>
      </c>
    </row>
    <row r="10" spans="2:9" ht="16.5" customHeight="1" x14ac:dyDescent="0.25">
      <c r="B10" s="4" t="s">
        <v>71</v>
      </c>
      <c r="C10" s="4" t="s">
        <v>74</v>
      </c>
      <c r="D10" s="4" t="s">
        <v>73</v>
      </c>
      <c r="E10" s="4" t="s">
        <v>24</v>
      </c>
      <c r="F10" s="5" t="str">
        <f>IFERROR(IF(E10="","",VLOOKUP(E10,Catalogo!$B$10:$D$209,2,0)),"")</f>
        <v>TROFEO 35,5 COPA</v>
      </c>
      <c r="G10" s="5" t="str">
        <f>IFERROR(IF(E10="","",VLOOKUP(E10,Catalogo!$B$10:$D$209,3,0)),"")</f>
        <v>COPA ABIERTO</v>
      </c>
      <c r="H10" s="4">
        <v>2</v>
      </c>
      <c r="I10" s="4">
        <f>IF(E10="","",SUMPRODUCT((E$9:E10=E10)*(C$9:C10&lt;&gt;"Salida")*H$9:H10)-SUMPRODUCT((E$9:E10=E10)*(C$9:C10="Salida")*H$9:H10))</f>
        <v>2</v>
      </c>
    </row>
    <row r="11" spans="2:9" ht="16.5" customHeight="1" x14ac:dyDescent="0.25">
      <c r="B11" s="6" t="s">
        <v>75</v>
      </c>
      <c r="C11" s="6" t="s">
        <v>74</v>
      </c>
      <c r="D11" s="6" t="s">
        <v>76</v>
      </c>
      <c r="E11" s="6" t="s">
        <v>30</v>
      </c>
      <c r="F11" s="7" t="str">
        <f>IFERROR(IF(E11="","",VLOOKUP(E11,Catalogo!$B$10:$D$209,2,0)),"")</f>
        <v>GORRO ROSADO</v>
      </c>
      <c r="G11" s="7" t="str">
        <f>IFERROR(IF(E11="","",VLOOKUP(E11,Catalogo!$B$10:$D$209,3,0)),"")</f>
        <v>GORRO DE LANA</v>
      </c>
      <c r="H11" s="6">
        <v>1</v>
      </c>
      <c r="I11" s="6">
        <f>IF(E11="","",SUMPRODUCT((E$9:E11=E11)*(C$9:C11&lt;&gt;"Salida")*H$9:H11)-SUMPRODUCT((E$9:E11=E11)*(C$9:C11="Salida")*H$9:H11))</f>
        <v>1</v>
      </c>
    </row>
    <row r="12" spans="2:9" ht="16.5" customHeight="1" x14ac:dyDescent="0.25">
      <c r="B12" s="4" t="s">
        <v>75</v>
      </c>
      <c r="C12" s="4" t="s">
        <v>72</v>
      </c>
      <c r="D12" s="4" t="s">
        <v>76</v>
      </c>
      <c r="E12" s="4" t="s">
        <v>33</v>
      </c>
      <c r="F12" s="5" t="str">
        <f>IFERROR(IF(E12="","",VLOOKUP(E12,Catalogo!$B$10:$D$209,2,0)),"")</f>
        <v>GORRO GRIS</v>
      </c>
      <c r="G12" s="5" t="str">
        <f>IFERROR(IF(E12="","",VLOOKUP(E12,Catalogo!$B$10:$D$209,3,0)),"")</f>
        <v>GORRO DE LANA</v>
      </c>
      <c r="H12" s="4">
        <v>1</v>
      </c>
      <c r="I12" s="4">
        <f>IF(E12="","",SUMPRODUCT((E$9:E12=E12)*(C$9:C12&lt;&gt;"Salida")*H$9:H12)-SUMPRODUCT((E$9:E12=E12)*(C$9:C12="Salida")*H$9:H12))</f>
        <v>1</v>
      </c>
    </row>
    <row r="13" spans="2:9" ht="16.5" customHeight="1" x14ac:dyDescent="0.25">
      <c r="B13" s="6" t="s">
        <v>75</v>
      </c>
      <c r="C13" s="6" t="s">
        <v>74</v>
      </c>
      <c r="D13" s="6" t="s">
        <v>76</v>
      </c>
      <c r="E13" s="6" t="s">
        <v>35</v>
      </c>
      <c r="F13" s="7" t="str">
        <f>IFERROR(IF(E13="","",VLOOKUP(E13,Catalogo!$B$10:$D$209,2,0)),"")</f>
        <v>GORRO NEGRO (060)</v>
      </c>
      <c r="G13" s="7" t="str">
        <f>IFERROR(IF(E13="","",VLOOKUP(E13,Catalogo!$B$10:$D$209,3,0)),"")</f>
        <v>GORRO DE LANA</v>
      </c>
      <c r="H13" s="6">
        <v>2</v>
      </c>
      <c r="I13" s="6">
        <f>IF(E13="","",SUMPRODUCT((E$9:E13=E13)*(C$9:C13&lt;&gt;"Salida")*H$9:H13)-SUMPRODUCT((E$9:E13=E13)*(C$9:C13="Salida")*H$9:H13))</f>
        <v>2</v>
      </c>
    </row>
    <row r="14" spans="2:9" ht="16.5" customHeight="1" x14ac:dyDescent="0.25">
      <c r="B14" s="4" t="s">
        <v>75</v>
      </c>
      <c r="C14" s="4" t="s">
        <v>74</v>
      </c>
      <c r="D14" s="4" t="s">
        <v>76</v>
      </c>
      <c r="E14" s="4" t="s">
        <v>37</v>
      </c>
      <c r="F14" s="5" t="str">
        <f>IFERROR(IF(E14="","",VLOOKUP(E14,Catalogo!$B$10:$D$209,2,0)),"")</f>
        <v>GORRO NEGRO (N125)</v>
      </c>
      <c r="G14" s="5" t="str">
        <f>IFERROR(IF(E14="","",VLOOKUP(E14,Catalogo!$B$10:$D$209,3,0)),"")</f>
        <v>GORRO DE LANA</v>
      </c>
      <c r="H14" s="4">
        <v>3</v>
      </c>
      <c r="I14" s="4">
        <f>IF(E14="","",SUMPRODUCT((E$9:E14=E14)*(C$9:C14&lt;&gt;"Salida")*H$9:H14)-SUMPRODUCT((E$9:E14=E14)*(C$9:C14="Salida")*H$9:H14))</f>
        <v>3</v>
      </c>
    </row>
    <row r="15" spans="2:9" ht="16.5" customHeight="1" x14ac:dyDescent="0.25">
      <c r="B15" s="6" t="s">
        <v>75</v>
      </c>
      <c r="C15" s="6" t="s">
        <v>72</v>
      </c>
      <c r="D15" s="6" t="s">
        <v>76</v>
      </c>
      <c r="E15" s="6" t="s">
        <v>39</v>
      </c>
      <c r="F15" s="7" t="str">
        <f>IFERROR(IF(E15="","",VLOOKUP(E15,Catalogo!$B$10:$D$209,2,0)),"")</f>
        <v>PELOTA SUPER SOFT WHITE</v>
      </c>
      <c r="G15" s="7" t="str">
        <f>IFERROR(IF(E15="","",VLOOKUP(E15,Catalogo!$B$10:$D$209,3,0)),"")</f>
        <v>PELOTAS DE GOLF</v>
      </c>
      <c r="H15" s="6">
        <v>8</v>
      </c>
      <c r="I15" s="6">
        <f>IF(E15="","",SUMPRODUCT((E$9:E15=E15)*(C$9:C15&lt;&gt;"Salida")*H$9:H15)-SUMPRODUCT((E$9:E15=E15)*(C$9:C15="Salida")*H$9:H15))</f>
        <v>8</v>
      </c>
    </row>
    <row r="16" spans="2:9" ht="16.5" customHeight="1" x14ac:dyDescent="0.25">
      <c r="B16" s="4" t="s">
        <v>77</v>
      </c>
      <c r="C16" s="4" t="s">
        <v>72</v>
      </c>
      <c r="D16" s="4" t="s">
        <v>73</v>
      </c>
      <c r="E16" s="4" t="s">
        <v>42</v>
      </c>
      <c r="F16" s="5" t="str">
        <f>IFERROR(IF(E16="","",VLOOKUP(E16,Catalogo!$B$10:$D$209,2,0)),"")</f>
        <v>GUANTES DERECHO XL</v>
      </c>
      <c r="G16" s="5" t="str">
        <f>IFERROR(IF(E16="","",VLOOKUP(E16,Catalogo!$B$10:$D$209,3,0)),"")</f>
        <v>GUANTES</v>
      </c>
      <c r="H16" s="4">
        <v>1</v>
      </c>
      <c r="I16" s="4">
        <f>IF(E16="","",SUMPRODUCT((E$9:E16=E16)*(C$9:C16&lt;&gt;"Salida")*H$9:H16)-SUMPRODUCT((E$9:E16=E16)*(C$9:C16="Salida")*H$9:H16))</f>
        <v>1</v>
      </c>
    </row>
    <row r="17" spans="2:22" ht="16.5" customHeight="1" x14ac:dyDescent="0.25">
      <c r="B17" s="6" t="s">
        <v>77</v>
      </c>
      <c r="C17" s="6" t="s">
        <v>72</v>
      </c>
      <c r="D17" s="6" t="s">
        <v>73</v>
      </c>
      <c r="E17" s="6" t="s">
        <v>45</v>
      </c>
      <c r="F17" s="7" t="str">
        <f>IFERROR(IF(E17="","",VLOOKUP(E17,Catalogo!$B$10:$D$209,2,0)),"")</f>
        <v>GUANTES DERECHO MD</v>
      </c>
      <c r="G17" s="7" t="str">
        <f>IFERROR(IF(E17="","",VLOOKUP(E17,Catalogo!$B$10:$D$209,3,0)),"")</f>
        <v>GUANTES</v>
      </c>
      <c r="H17" s="6">
        <v>1</v>
      </c>
      <c r="I17" s="6">
        <f>IF(E17="","",SUMPRODUCT((E$9:E17=E17)*(C$9:C17&lt;&gt;"Salida")*H$9:H17)-SUMPRODUCT((E$9:E17=E17)*(C$9:C17="Salida")*H$9:H17))</f>
        <v>1</v>
      </c>
    </row>
    <row r="18" spans="2:22" ht="16.5" customHeight="1" x14ac:dyDescent="0.25">
      <c r="B18" s="4" t="s">
        <v>77</v>
      </c>
      <c r="C18" s="4" t="s">
        <v>72</v>
      </c>
      <c r="D18" s="4" t="s">
        <v>73</v>
      </c>
      <c r="E18" s="4" t="s">
        <v>48</v>
      </c>
      <c r="F18" s="5" t="str">
        <f>IFERROR(IF(E18="","",VLOOKUP(E18,Catalogo!$B$10:$D$209,2,0)),"")</f>
        <v>GUANTES DERECHO LG</v>
      </c>
      <c r="G18" s="5" t="str">
        <f>IFERROR(IF(E18="","",VLOOKUP(E18,Catalogo!$B$10:$D$209,3,0)),"")</f>
        <v>GUANTES</v>
      </c>
      <c r="H18" s="4">
        <v>1</v>
      </c>
      <c r="I18" s="4">
        <f>IF(E18="","",SUMPRODUCT((E$9:E18=E18)*(C$9:C18&lt;&gt;"Salida")*H$9:H18)-SUMPRODUCT((E$9:E18=E18)*(C$9:C18="Salida")*H$9:H18))</f>
        <v>1</v>
      </c>
    </row>
    <row r="19" spans="2:22" ht="16.5" customHeight="1" x14ac:dyDescent="0.25">
      <c r="B19" s="6" t="s">
        <v>75</v>
      </c>
      <c r="C19" s="6" t="s">
        <v>72</v>
      </c>
      <c r="D19" s="6" t="s">
        <v>76</v>
      </c>
      <c r="E19" s="6" t="s">
        <v>51</v>
      </c>
      <c r="F19" s="7" t="str">
        <f>IFERROR(IF(E19="","",VLOOKUP(E19,Catalogo!$B$10:$D$209,2,0)),"")</f>
        <v>TROFEO ESTRELLA PELOTA 17</v>
      </c>
      <c r="G19" s="7" t="str">
        <f>IFERROR(IF(E19="","",VLOOKUP(E19,Catalogo!$B$10:$D$209,3,0)),"")</f>
        <v>TROFEOS</v>
      </c>
      <c r="H19" s="6">
        <v>3</v>
      </c>
      <c r="I19" s="6">
        <f>IF(E19="","",SUMPRODUCT((E$9:E19=E19)*(C$9:C19&lt;&gt;"Salida")*H$9:H19)-SUMPRODUCT((E$9:E19=E19)*(C$9:C19="Salida")*H$9:H19))</f>
        <v>3</v>
      </c>
    </row>
    <row r="20" spans="2:22" ht="16.5" customHeight="1" x14ac:dyDescent="0.25">
      <c r="B20" s="4" t="s">
        <v>75</v>
      </c>
      <c r="C20" s="4" t="s">
        <v>72</v>
      </c>
      <c r="D20" s="4" t="s">
        <v>76</v>
      </c>
      <c r="E20" s="4" t="s">
        <v>54</v>
      </c>
      <c r="F20" s="5" t="str">
        <f>IFERROR(IF(E20="","",VLOOKUP(E20,Catalogo!$B$10:$D$209,2,0)),"")</f>
        <v>TROFEO ESTRELLA PELOTA 23</v>
      </c>
      <c r="G20" s="5" t="str">
        <f>IFERROR(IF(E20="","",VLOOKUP(E20,Catalogo!$B$10:$D$209,3,0)),"")</f>
        <v>TROFEOS</v>
      </c>
      <c r="H20" s="4">
        <v>14</v>
      </c>
      <c r="I20" s="4">
        <f>IF(E20="","",SUMPRODUCT((E$9:E20=E20)*(C$9:C20&lt;&gt;"Salida")*H$9:H20)-SUMPRODUCT((E$9:E20=E20)*(C$9:C20="Salida")*H$9:H20))</f>
        <v>14</v>
      </c>
    </row>
    <row r="21" spans="2:22" ht="16.5" customHeight="1" x14ac:dyDescent="0.25">
      <c r="B21" s="6" t="s">
        <v>78</v>
      </c>
      <c r="C21" s="6" t="s">
        <v>79</v>
      </c>
      <c r="D21" s="6" t="s">
        <v>76</v>
      </c>
      <c r="E21" s="6" t="s">
        <v>54</v>
      </c>
      <c r="F21" s="7" t="str">
        <f>IFERROR(IF(E21="","",VLOOKUP(E21,Catalogo!$B$10:$D$209,2,0)),"")</f>
        <v>TROFEO ESTRELLA PELOTA 23</v>
      </c>
      <c r="G21" s="7" t="str">
        <f>IFERROR(IF(E21="","",VLOOKUP(E21,Catalogo!$B$10:$D$209,3,0)),"")</f>
        <v>TROFEOS</v>
      </c>
      <c r="H21" s="6">
        <v>14</v>
      </c>
      <c r="I21" s="6">
        <f>IF(E21="","",SUMPRODUCT((E$9:E21=E21)*(C$9:C21&lt;&gt;"Salida")*H$9:H21)-SUMPRODUCT((E$9:E21=E21)*(C$9:C21="Salida")*H$9:H21))</f>
        <v>0</v>
      </c>
    </row>
    <row r="22" spans="2:22" ht="16.5" customHeight="1" x14ac:dyDescent="0.25">
      <c r="B22" s="4" t="s">
        <v>78</v>
      </c>
      <c r="C22" s="4" t="s">
        <v>79</v>
      </c>
      <c r="D22" s="4" t="s">
        <v>76</v>
      </c>
      <c r="E22" s="4" t="s">
        <v>51</v>
      </c>
      <c r="F22" s="5" t="str">
        <f>IFERROR(IF(E22="","",VLOOKUP(E22,Catalogo!$B$10:$D$209,2,0)),"")</f>
        <v>TROFEO ESTRELLA PELOTA 17</v>
      </c>
      <c r="G22" s="5" t="str">
        <f>IFERROR(IF(E22="","",VLOOKUP(E22,Catalogo!$B$10:$D$209,3,0)),"")</f>
        <v>TROFEOS</v>
      </c>
      <c r="H22" s="4">
        <v>2</v>
      </c>
      <c r="I22" s="4">
        <f>IF(E22="","",SUMPRODUCT((E$9:E22=E22)*(C$9:C22&lt;&gt;"Salida")*H$9:H22)-SUMPRODUCT((E$9:E22=E22)*(C$9:C22="Salida")*H$9:H22))</f>
        <v>1</v>
      </c>
      <c r="V22" s="11"/>
    </row>
    <row r="23" spans="2:22" ht="16.5" customHeight="1" x14ac:dyDescent="0.25">
      <c r="B23" s="6" t="s">
        <v>78</v>
      </c>
      <c r="C23" s="6" t="s">
        <v>79</v>
      </c>
      <c r="D23" s="6" t="s">
        <v>76</v>
      </c>
      <c r="E23" s="6" t="s">
        <v>35</v>
      </c>
      <c r="F23" s="7" t="str">
        <f>IFERROR(IF(E23="","",VLOOKUP(E23,Catalogo!$B$10:$D$209,2,0)),"")</f>
        <v>GORRO NEGRO (060)</v>
      </c>
      <c r="G23" s="7" t="str">
        <f>IFERROR(IF(E23="","",VLOOKUP(E23,Catalogo!$B$10:$D$209,3,0)),"")</f>
        <v>GORRO DE LANA</v>
      </c>
      <c r="H23" s="6">
        <v>2</v>
      </c>
      <c r="I23" s="6">
        <f>IF(E23="","",SUMPRODUCT((E$9:E23=E23)*(C$9:C23&lt;&gt;"Salida")*H$9:H23)-SUMPRODUCT((E$9:E23=E23)*(C$9:C23="Salida")*H$9:H23))</f>
        <v>0</v>
      </c>
    </row>
    <row r="24" spans="2:22" ht="16.5" customHeight="1" x14ac:dyDescent="0.25">
      <c r="B24" s="4" t="s">
        <v>78</v>
      </c>
      <c r="C24" s="4" t="s">
        <v>79</v>
      </c>
      <c r="D24" s="4" t="s">
        <v>76</v>
      </c>
      <c r="E24" s="4" t="s">
        <v>37</v>
      </c>
      <c r="F24" s="5" t="str">
        <f>IFERROR(IF(E24="","",VLOOKUP(E24,Catalogo!$B$10:$D$209,2,0)),"")</f>
        <v>GORRO NEGRO (N125)</v>
      </c>
      <c r="G24" s="5" t="str">
        <f>IFERROR(IF(E24="","",VLOOKUP(E24,Catalogo!$B$10:$D$209,3,0)),"")</f>
        <v>GORRO DE LANA</v>
      </c>
      <c r="H24" s="4">
        <v>3</v>
      </c>
      <c r="I24" s="4">
        <f>IF(E24="","",SUMPRODUCT((E$9:E24=E24)*(C$9:C24&lt;&gt;"Salida")*H$9:H24)-SUMPRODUCT((E$9:E24=E24)*(C$9:C24="Salida")*H$9:H24))</f>
        <v>0</v>
      </c>
    </row>
    <row r="25" spans="2:22" ht="16.5" customHeight="1" x14ac:dyDescent="0.25">
      <c r="B25" s="6" t="s">
        <v>78</v>
      </c>
      <c r="C25" s="6" t="s">
        <v>79</v>
      </c>
      <c r="D25" s="6" t="s">
        <v>76</v>
      </c>
      <c r="E25" s="6" t="s">
        <v>30</v>
      </c>
      <c r="F25" s="7" t="str">
        <f>IFERROR(IF(E25="","",VLOOKUP(E25,Catalogo!$B$10:$D$209,2,0)),"")</f>
        <v>GORRO ROSADO</v>
      </c>
      <c r="G25" s="7" t="str">
        <f>IFERROR(IF(E25="","",VLOOKUP(E25,Catalogo!$B$10:$D$209,3,0)),"")</f>
        <v>GORRO DE LANA</v>
      </c>
      <c r="H25" s="6">
        <v>1</v>
      </c>
      <c r="I25" s="6">
        <f>IF(E25="","",SUMPRODUCT((E$9:E25=E25)*(C$9:C25&lt;&gt;"Salida")*H$9:H25)-SUMPRODUCT((E$9:E25=E25)*(C$9:C25="Salida")*H$9:H25))</f>
        <v>0</v>
      </c>
    </row>
    <row r="26" spans="2:22" ht="16.5" customHeight="1" x14ac:dyDescent="0.25">
      <c r="B26" s="4" t="s">
        <v>80</v>
      </c>
      <c r="C26" s="4" t="s">
        <v>74</v>
      </c>
      <c r="D26" s="4" t="s">
        <v>76</v>
      </c>
      <c r="E26" s="4" t="s">
        <v>24</v>
      </c>
      <c r="F26" s="5" t="str">
        <f>IFERROR(IF(E26="","",VLOOKUP(E26,Catalogo!$B$10:$D$209,2,0)),"")</f>
        <v>TROFEO 35,5 COPA</v>
      </c>
      <c r="G26" s="5" t="str">
        <f>IFERROR(IF(E26="","",VLOOKUP(E26,Catalogo!$B$10:$D$209,3,0)),"")</f>
        <v>COPA ABIERTO</v>
      </c>
      <c r="H26" s="4">
        <v>3</v>
      </c>
      <c r="I26" s="4">
        <f>IF(E26="","",SUMPRODUCT((E$9:E26=E26)*(C$9:C26&lt;&gt;"Salida")*H$9:H26)-SUMPRODUCT((E$9:E26=E26)*(C$9:C26="Salida")*H$9:H26))</f>
        <v>5</v>
      </c>
    </row>
    <row r="27" spans="2:22" ht="16.5" customHeight="1" x14ac:dyDescent="0.25">
      <c r="B27" s="6" t="s">
        <v>80</v>
      </c>
      <c r="C27" s="6" t="s">
        <v>79</v>
      </c>
      <c r="D27" s="6" t="s">
        <v>76</v>
      </c>
      <c r="E27" s="6" t="s">
        <v>24</v>
      </c>
      <c r="F27" s="7" t="str">
        <f>IFERROR(IF(E27="","",VLOOKUP(E27,Catalogo!$B$10:$D$209,2,0)),"")</f>
        <v>TROFEO 35,5 COPA</v>
      </c>
      <c r="G27" s="7" t="str">
        <f>IFERROR(IF(E27="","",VLOOKUP(E27,Catalogo!$B$10:$D$209,3,0)),"")</f>
        <v>COPA ABIERTO</v>
      </c>
      <c r="H27" s="6">
        <v>5</v>
      </c>
      <c r="I27" s="6">
        <f>IF(E27="","",SUMPRODUCT((E$9:E27=E27)*(C$9:C27&lt;&gt;"Salida")*H$9:H27)-SUMPRODUCT((E$9:E27=E27)*(C$9:C27="Salida")*H$9:H27))</f>
        <v>0</v>
      </c>
    </row>
    <row r="28" spans="2:22" ht="16.5" customHeight="1" x14ac:dyDescent="0.25">
      <c r="B28" s="4" t="s">
        <v>81</v>
      </c>
      <c r="C28" s="4" t="s">
        <v>74</v>
      </c>
      <c r="D28" s="4" t="s">
        <v>76</v>
      </c>
      <c r="E28" s="4" t="s">
        <v>54</v>
      </c>
      <c r="F28" s="5" t="str">
        <f>IFERROR(IF(E28="","",VLOOKUP(E28,Catalogo!$B$10:$D$209,2,0)),"")</f>
        <v>TROFEO ESTRELLA PELOTA 23</v>
      </c>
      <c r="G28" s="5" t="str">
        <f>IFERROR(IF(E28="","",VLOOKUP(E28,Catalogo!$B$10:$D$209,3,0)),"")</f>
        <v>TROFEOS</v>
      </c>
      <c r="H28" s="4">
        <v>12</v>
      </c>
      <c r="I28" s="4">
        <f>IF(E28="","",SUMPRODUCT((E$9:E28=E28)*(C$9:C28&lt;&gt;"Salida")*H$9:H28)-SUMPRODUCT((E$9:E28=E28)*(C$9:C28="Salida")*H$9:H28))</f>
        <v>12</v>
      </c>
    </row>
    <row r="29" spans="2:22" ht="16.5" customHeight="1" x14ac:dyDescent="0.25">
      <c r="B29" s="6" t="s">
        <v>82</v>
      </c>
      <c r="C29" s="6" t="s">
        <v>74</v>
      </c>
      <c r="D29" s="6" t="s">
        <v>76</v>
      </c>
      <c r="E29" s="6" t="s">
        <v>57</v>
      </c>
      <c r="F29" s="7" t="str">
        <f>IFERROR(IF(E29="","",VLOOKUP(E29,Catalogo!$B$10:$D$209,2,0)),"")</f>
        <v>TROFEO RESINA GOLF 20CM</v>
      </c>
      <c r="G29" s="7" t="str">
        <f>IFERROR(IF(E29="","",VLOOKUP(E29,Catalogo!$B$10:$D$209,3,0)),"")</f>
        <v>TROFEOS</v>
      </c>
      <c r="H29" s="6">
        <v>6</v>
      </c>
      <c r="I29" s="6">
        <f>IF(E29="","",SUMPRODUCT((E$9:E29=E29)*(C$9:C29&lt;&gt;"Salida")*H$9:H29)-SUMPRODUCT((E$9:E29=E29)*(C$9:C29="Salida")*H$9:H29))</f>
        <v>6</v>
      </c>
    </row>
    <row r="30" spans="2:22" ht="16.5" customHeight="1" x14ac:dyDescent="0.25">
      <c r="B30" s="4" t="s">
        <v>95</v>
      </c>
      <c r="C30" s="4" t="s">
        <v>74</v>
      </c>
      <c r="D30" s="4">
        <v>2026</v>
      </c>
      <c r="E30" s="4" t="s">
        <v>42</v>
      </c>
      <c r="F30" s="5" t="str">
        <f>IFERROR(IF(E30="","",VLOOKUP(E30,Catalogo!$B$10:$D$209,2,0)),"")</f>
        <v>GUANTES DERECHO XL</v>
      </c>
      <c r="G30" s="5" t="str">
        <f>IFERROR(IF(E30="","",VLOOKUP(E30,Catalogo!$B$10:$D$209,3,0)),"")</f>
        <v>GUANTES</v>
      </c>
      <c r="H30" s="4">
        <v>15</v>
      </c>
      <c r="I30" s="4">
        <f>IF(E30="","",SUMPRODUCT((E$9:E30=E30)*(C$9:C30&lt;&gt;"Salida")*H$9:H30)-SUMPRODUCT((E$9:E30=E30)*(C$9:C30="Salida")*H$9:H30))</f>
        <v>16</v>
      </c>
    </row>
    <row r="31" spans="2:22" ht="16.5" customHeight="1" x14ac:dyDescent="0.25">
      <c r="B31" s="6"/>
      <c r="C31" s="6"/>
      <c r="D31" s="6"/>
      <c r="E31" s="6"/>
      <c r="F31" s="7" t="str">
        <f>IFERROR(IF(E31="","",VLOOKUP(E31,Catalogo!$B$10:$D$209,2,0)),"")</f>
        <v/>
      </c>
      <c r="G31" s="7" t="str">
        <f>IFERROR(IF(E31="","",VLOOKUP(E31,Catalogo!$B$10:$D$209,3,0)),"")</f>
        <v/>
      </c>
      <c r="H31" s="6"/>
      <c r="I31" s="6" t="str">
        <f>IF(E31="","",SUMPRODUCT((E$9:E31=E31)*(C$9:C31&lt;&gt;"Salida")*H$9:H31)-SUMPRODUCT((E$9:E31=E31)*(C$9:C31="Salida")*H$9:H31))</f>
        <v/>
      </c>
    </row>
    <row r="32" spans="2:22" ht="16.5" customHeight="1" x14ac:dyDescent="0.25">
      <c r="B32" s="4"/>
      <c r="C32" s="4"/>
      <c r="D32" s="4"/>
      <c r="E32" s="4"/>
      <c r="F32" s="5" t="str">
        <f>IFERROR(IF(E32="","",VLOOKUP(E32,Catalogo!$B$10:$D$209,2,0)),"")</f>
        <v/>
      </c>
      <c r="G32" s="5" t="str">
        <f>IFERROR(IF(E32="","",VLOOKUP(E32,Catalogo!$B$10:$D$209,3,0)),"")</f>
        <v/>
      </c>
      <c r="H32" s="4"/>
      <c r="I32" s="4" t="str">
        <f>IF(E32="","",SUMPRODUCT((E$9:E32=E32)*(C$9:C32&lt;&gt;"Salida")*H$9:H32)-SUMPRODUCT((E$9:E32=E32)*(C$9:C32="Salida")*H$9:H32))</f>
        <v/>
      </c>
    </row>
    <row r="33" spans="2:9" ht="16.5" customHeight="1" x14ac:dyDescent="0.25">
      <c r="B33" s="6"/>
      <c r="C33" s="6"/>
      <c r="D33" s="6"/>
      <c r="E33" s="6"/>
      <c r="F33" s="7" t="str">
        <f>IFERROR(IF(E33="","",VLOOKUP(E33,Catalogo!$B$10:$D$209,2,0)),"")</f>
        <v/>
      </c>
      <c r="G33" s="7" t="str">
        <f>IFERROR(IF(E33="","",VLOOKUP(E33,Catalogo!$B$10:$D$209,3,0)),"")</f>
        <v/>
      </c>
      <c r="H33" s="6"/>
      <c r="I33" s="6" t="str">
        <f>IF(E33="","",SUMPRODUCT((E$9:E33=E33)*(C$9:C33&lt;&gt;"Salida")*H$9:H33)-SUMPRODUCT((E$9:E33=E33)*(C$9:C33="Salida")*H$9:H33))</f>
        <v/>
      </c>
    </row>
    <row r="34" spans="2:9" ht="16.5" customHeight="1" x14ac:dyDescent="0.25">
      <c r="B34" s="4"/>
      <c r="C34" s="4"/>
      <c r="D34" s="4"/>
      <c r="E34" s="4"/>
      <c r="F34" s="5" t="str">
        <f>IFERROR(IF(E34="","",VLOOKUP(E34,Catalogo!$B$10:$D$209,2,0)),"")</f>
        <v/>
      </c>
      <c r="G34" s="5" t="str">
        <f>IFERROR(IF(E34="","",VLOOKUP(E34,Catalogo!$B$10:$D$209,3,0)),"")</f>
        <v/>
      </c>
      <c r="H34" s="4"/>
      <c r="I34" s="4" t="str">
        <f>IF(E34="","",SUMPRODUCT((E$9:E34=E34)*(C$9:C34&lt;&gt;"Salida")*H$9:H34)-SUMPRODUCT((E$9:E34=E34)*(C$9:C34="Salida")*H$9:H34))</f>
        <v/>
      </c>
    </row>
    <row r="35" spans="2:9" ht="16.5" customHeight="1" x14ac:dyDescent="0.25">
      <c r="B35" s="6"/>
      <c r="C35" s="6"/>
      <c r="D35" s="6"/>
      <c r="E35" s="6"/>
      <c r="F35" s="7" t="str">
        <f>IFERROR(IF(E35="","",VLOOKUP(E35,Catalogo!$B$10:$D$209,2,0)),"")</f>
        <v/>
      </c>
      <c r="G35" s="7" t="str">
        <f>IFERROR(IF(E35="","",VLOOKUP(E35,Catalogo!$B$10:$D$209,3,0)),"")</f>
        <v/>
      </c>
      <c r="H35" s="6"/>
      <c r="I35" s="6" t="str">
        <f>IF(E35="","",SUMPRODUCT((E$9:E35=E35)*(C$9:C35&lt;&gt;"Salida")*H$9:H35)-SUMPRODUCT((E$9:E35=E35)*(C$9:C35="Salida")*H$9:H35))</f>
        <v/>
      </c>
    </row>
    <row r="36" spans="2:9" ht="16.5" customHeight="1" x14ac:dyDescent="0.25">
      <c r="B36" s="4"/>
      <c r="C36" s="4"/>
      <c r="D36" s="4"/>
      <c r="E36" s="4"/>
      <c r="F36" s="5" t="str">
        <f>IFERROR(IF(E36="","",VLOOKUP(E36,Catalogo!$B$10:$D$209,2,0)),"")</f>
        <v/>
      </c>
      <c r="G36" s="5" t="str">
        <f>IFERROR(IF(E36="","",VLOOKUP(E36,Catalogo!$B$10:$D$209,3,0)),"")</f>
        <v/>
      </c>
      <c r="H36" s="4"/>
      <c r="I36" s="4" t="str">
        <f>IF(E36="","",SUMPRODUCT((E$9:E36=E36)*(C$9:C36&lt;&gt;"Salida")*H$9:H36)-SUMPRODUCT((E$9:E36=E36)*(C$9:C36="Salida")*H$9:H36))</f>
        <v/>
      </c>
    </row>
    <row r="37" spans="2:9" ht="16.5" customHeight="1" x14ac:dyDescent="0.25">
      <c r="B37" s="6"/>
      <c r="C37" s="6"/>
      <c r="D37" s="6"/>
      <c r="E37" s="6"/>
      <c r="F37" s="7" t="str">
        <f>IFERROR(IF(E37="","",VLOOKUP(E37,Catalogo!$B$10:$D$209,2,0)),"")</f>
        <v/>
      </c>
      <c r="G37" s="7" t="str">
        <f>IFERROR(IF(E37="","",VLOOKUP(E37,Catalogo!$B$10:$D$209,3,0)),"")</f>
        <v/>
      </c>
      <c r="H37" s="6"/>
      <c r="I37" s="6" t="str">
        <f>IF(E37="","",SUMPRODUCT((E$9:E37=E37)*(C$9:C37&lt;&gt;"Salida")*H$9:H37)-SUMPRODUCT((E$9:E37=E37)*(C$9:C37="Salida")*H$9:H37))</f>
        <v/>
      </c>
    </row>
    <row r="38" spans="2:9" ht="16.5" customHeight="1" x14ac:dyDescent="0.25">
      <c r="B38" s="4"/>
      <c r="C38" s="4"/>
      <c r="D38" s="4"/>
      <c r="E38" s="4"/>
      <c r="F38" s="5" t="str">
        <f>IFERROR(IF(E38="","",VLOOKUP(E38,Catalogo!$B$10:$D$209,2,0)),"")</f>
        <v/>
      </c>
      <c r="G38" s="5" t="str">
        <f>IFERROR(IF(E38="","",VLOOKUP(E38,Catalogo!$B$10:$D$209,3,0)),"")</f>
        <v/>
      </c>
      <c r="H38" s="4"/>
      <c r="I38" s="4" t="str">
        <f>IF(E38="","",SUMPRODUCT((E$9:E38=E38)*(C$9:C38&lt;&gt;"Salida")*H$9:H38)-SUMPRODUCT((E$9:E38=E38)*(C$9:C38="Salida")*H$9:H38))</f>
        <v/>
      </c>
    </row>
    <row r="39" spans="2:9" ht="16.5" customHeight="1" x14ac:dyDescent="0.25">
      <c r="B39" s="6"/>
      <c r="C39" s="6"/>
      <c r="D39" s="6"/>
      <c r="E39" s="6"/>
      <c r="F39" s="7" t="str">
        <f>IFERROR(IF(E39="","",VLOOKUP(E39,Catalogo!$B$10:$D$209,2,0)),"")</f>
        <v/>
      </c>
      <c r="G39" s="7" t="str">
        <f>IFERROR(IF(E39="","",VLOOKUP(E39,Catalogo!$B$10:$D$209,3,0)),"")</f>
        <v/>
      </c>
      <c r="H39" s="6"/>
      <c r="I39" s="6" t="str">
        <f>IF(E39="","",SUMPRODUCT((E$9:E39=E39)*(C$9:C39&lt;&gt;"Salida")*H$9:H39)-SUMPRODUCT((E$9:E39=E39)*(C$9:C39="Salida")*H$9:H39))</f>
        <v/>
      </c>
    </row>
    <row r="40" spans="2:9" ht="16.5" customHeight="1" x14ac:dyDescent="0.25">
      <c r="B40" s="4"/>
      <c r="C40" s="4"/>
      <c r="D40" s="4"/>
      <c r="E40" s="4"/>
      <c r="F40" s="5" t="str">
        <f>IFERROR(IF(E40="","",VLOOKUP(E40,Catalogo!$B$10:$D$209,2,0)),"")</f>
        <v/>
      </c>
      <c r="G40" s="5" t="str">
        <f>IFERROR(IF(E40="","",VLOOKUP(E40,Catalogo!$B$10:$D$209,3,0)),"")</f>
        <v/>
      </c>
      <c r="H40" s="4"/>
      <c r="I40" s="4" t="str">
        <f>IF(E40="","",SUMPRODUCT((E$9:E40=E40)*(C$9:C40&lt;&gt;"Salida")*H$9:H40)-SUMPRODUCT((E$9:E40=E40)*(C$9:C40="Salida")*H$9:H40))</f>
        <v/>
      </c>
    </row>
    <row r="41" spans="2:9" ht="16.5" customHeight="1" x14ac:dyDescent="0.25">
      <c r="B41" s="6"/>
      <c r="C41" s="6"/>
      <c r="D41" s="6"/>
      <c r="E41" s="6"/>
      <c r="F41" s="7" t="str">
        <f>IFERROR(IF(E41="","",VLOOKUP(E41,Catalogo!$B$10:$D$209,2,0)),"")</f>
        <v/>
      </c>
      <c r="G41" s="7" t="str">
        <f>IFERROR(IF(E41="","",VLOOKUP(E41,Catalogo!$B$10:$D$209,3,0)),"")</f>
        <v/>
      </c>
      <c r="H41" s="6"/>
      <c r="I41" s="6" t="str">
        <f>IF(E41="","",SUMPRODUCT((E$9:E41=E41)*(C$9:C41&lt;&gt;"Salida")*H$9:H41)-SUMPRODUCT((E$9:E41=E41)*(C$9:C41="Salida")*H$9:H41))</f>
        <v/>
      </c>
    </row>
    <row r="42" spans="2:9" ht="16.5" customHeight="1" x14ac:dyDescent="0.25">
      <c r="B42" s="4"/>
      <c r="C42" s="4"/>
      <c r="D42" s="4"/>
      <c r="E42" s="4"/>
      <c r="F42" s="5" t="str">
        <f>IFERROR(IF(E42="","",VLOOKUP(E42,Catalogo!$B$10:$D$209,2,0)),"")</f>
        <v/>
      </c>
      <c r="G42" s="5" t="str">
        <f>IFERROR(IF(E42="","",VLOOKUP(E42,Catalogo!$B$10:$D$209,3,0)),"")</f>
        <v/>
      </c>
      <c r="H42" s="4"/>
      <c r="I42" s="4" t="str">
        <f>IF(E42="","",SUMPRODUCT((E$9:E42=E42)*(C$9:C42&lt;&gt;"Salida")*H$9:H42)-SUMPRODUCT((E$9:E42=E42)*(C$9:C42="Salida")*H$9:H42))</f>
        <v/>
      </c>
    </row>
    <row r="43" spans="2:9" ht="16.5" customHeight="1" x14ac:dyDescent="0.25">
      <c r="B43" s="6"/>
      <c r="C43" s="6"/>
      <c r="D43" s="6"/>
      <c r="E43" s="6"/>
      <c r="F43" s="7" t="str">
        <f>IFERROR(IF(E43="","",VLOOKUP(E43,Catalogo!$B$10:$D$209,2,0)),"")</f>
        <v/>
      </c>
      <c r="G43" s="7" t="str">
        <f>IFERROR(IF(E43="","",VLOOKUP(E43,Catalogo!$B$10:$D$209,3,0)),"")</f>
        <v/>
      </c>
      <c r="H43" s="6"/>
      <c r="I43" s="6" t="str">
        <f>IF(E43="","",SUMPRODUCT((E$9:E43=E43)*(C$9:C43&lt;&gt;"Salida")*H$9:H43)-SUMPRODUCT((E$9:E43=E43)*(C$9:C43="Salida")*H$9:H43))</f>
        <v/>
      </c>
    </row>
    <row r="44" spans="2:9" ht="16.5" customHeight="1" x14ac:dyDescent="0.25">
      <c r="B44" s="4"/>
      <c r="C44" s="4"/>
      <c r="D44" s="4"/>
      <c r="E44" s="4"/>
      <c r="F44" s="5" t="str">
        <f>IFERROR(IF(E44="","",VLOOKUP(E44,Catalogo!$B$10:$D$209,2,0)),"")</f>
        <v/>
      </c>
      <c r="G44" s="5" t="str">
        <f>IFERROR(IF(E44="","",VLOOKUP(E44,Catalogo!$B$10:$D$209,3,0)),"")</f>
        <v/>
      </c>
      <c r="H44" s="4"/>
      <c r="I44" s="4" t="str">
        <f>IF(E44="","",SUMPRODUCT((E$9:E44=E44)*(C$9:C44&lt;&gt;"Salida")*H$9:H44)-SUMPRODUCT((E$9:E44=E44)*(C$9:C44="Salida")*H$9:H44))</f>
        <v/>
      </c>
    </row>
    <row r="45" spans="2:9" ht="16.5" customHeight="1" x14ac:dyDescent="0.25">
      <c r="B45" s="6"/>
      <c r="C45" s="6"/>
      <c r="D45" s="6"/>
      <c r="E45" s="6"/>
      <c r="F45" s="7" t="str">
        <f>IFERROR(IF(E45="","",VLOOKUP(E45,Catalogo!$B$10:$D$209,2,0)),"")</f>
        <v/>
      </c>
      <c r="G45" s="7" t="str">
        <f>IFERROR(IF(E45="","",VLOOKUP(E45,Catalogo!$B$10:$D$209,3,0)),"")</f>
        <v/>
      </c>
      <c r="H45" s="6"/>
      <c r="I45" s="6" t="str">
        <f>IF(E45="","",SUMPRODUCT((E$9:E45=E45)*(C$9:C45&lt;&gt;"Salida")*H$9:H45)-SUMPRODUCT((E$9:E45=E45)*(C$9:C45="Salida")*H$9:H45))</f>
        <v/>
      </c>
    </row>
    <row r="46" spans="2:9" ht="16.5" customHeight="1" x14ac:dyDescent="0.25">
      <c r="B46" s="4"/>
      <c r="C46" s="4"/>
      <c r="D46" s="4"/>
      <c r="E46" s="4"/>
      <c r="F46" s="5" t="str">
        <f>IFERROR(IF(E46="","",VLOOKUP(E46,Catalogo!$B$10:$D$209,2,0)),"")</f>
        <v/>
      </c>
      <c r="G46" s="5" t="str">
        <f>IFERROR(IF(E46="","",VLOOKUP(E46,Catalogo!$B$10:$D$209,3,0)),"")</f>
        <v/>
      </c>
      <c r="H46" s="4"/>
      <c r="I46" s="4" t="str">
        <f>IF(E46="","",SUMPRODUCT((E$9:E46=E46)*(C$9:C46&lt;&gt;"Salida")*H$9:H46)-SUMPRODUCT((E$9:E46=E46)*(C$9:C46="Salida")*H$9:H46))</f>
        <v/>
      </c>
    </row>
    <row r="47" spans="2:9" ht="16.5" customHeight="1" x14ac:dyDescent="0.25">
      <c r="B47" s="6"/>
      <c r="C47" s="6"/>
      <c r="D47" s="6"/>
      <c r="E47" s="6"/>
      <c r="F47" s="7" t="str">
        <f>IFERROR(IF(E47="","",VLOOKUP(E47,Catalogo!$B$10:$D$209,2,0)),"")</f>
        <v/>
      </c>
      <c r="G47" s="7" t="str">
        <f>IFERROR(IF(E47="","",VLOOKUP(E47,Catalogo!$B$10:$D$209,3,0)),"")</f>
        <v/>
      </c>
      <c r="H47" s="6"/>
      <c r="I47" s="6" t="str">
        <f>IF(E47="","",SUMPRODUCT((E$9:E47=E47)*(C$9:C47&lt;&gt;"Salida")*H$9:H47)-SUMPRODUCT((E$9:E47=E47)*(C$9:C47="Salida")*H$9:H47))</f>
        <v/>
      </c>
    </row>
    <row r="48" spans="2:9" ht="16.5" customHeight="1" x14ac:dyDescent="0.25">
      <c r="B48" s="4"/>
      <c r="C48" s="4"/>
      <c r="D48" s="4"/>
      <c r="E48" s="4"/>
      <c r="F48" s="5" t="str">
        <f>IFERROR(IF(E48="","",VLOOKUP(E48,Catalogo!$B$10:$D$209,2,0)),"")</f>
        <v/>
      </c>
      <c r="G48" s="5" t="str">
        <f>IFERROR(IF(E48="","",VLOOKUP(E48,Catalogo!$B$10:$D$209,3,0)),"")</f>
        <v/>
      </c>
      <c r="H48" s="4"/>
      <c r="I48" s="4" t="str">
        <f>IF(E48="","",SUMPRODUCT((E$9:E48=E48)*(C$9:C48&lt;&gt;"Salida")*H$9:H48)-SUMPRODUCT((E$9:E48=E48)*(C$9:C48="Salida")*H$9:H48))</f>
        <v/>
      </c>
    </row>
    <row r="49" spans="2:9" ht="16.5" customHeight="1" x14ac:dyDescent="0.25">
      <c r="B49" s="6"/>
      <c r="C49" s="6"/>
      <c r="D49" s="6"/>
      <c r="E49" s="6"/>
      <c r="F49" s="7" t="str">
        <f>IFERROR(IF(E49="","",VLOOKUP(E49,Catalogo!$B$10:$D$209,2,0)),"")</f>
        <v/>
      </c>
      <c r="G49" s="7" t="str">
        <f>IFERROR(IF(E49="","",VLOOKUP(E49,Catalogo!$B$10:$D$209,3,0)),"")</f>
        <v/>
      </c>
      <c r="H49" s="6"/>
      <c r="I49" s="6" t="str">
        <f>IF(E49="","",SUMPRODUCT((E$9:E49=E49)*(C$9:C49&lt;&gt;"Salida")*H$9:H49)-SUMPRODUCT((E$9:E49=E49)*(C$9:C49="Salida")*H$9:H49))</f>
        <v/>
      </c>
    </row>
    <row r="50" spans="2:9" ht="16.5" customHeight="1" x14ac:dyDescent="0.25">
      <c r="B50" s="4"/>
      <c r="C50" s="4"/>
      <c r="D50" s="4"/>
      <c r="E50" s="4"/>
      <c r="F50" s="5" t="str">
        <f>IFERROR(IF(E50="","",VLOOKUP(E50,Catalogo!$B$10:$D$209,2,0)),"")</f>
        <v/>
      </c>
      <c r="G50" s="5" t="str">
        <f>IFERROR(IF(E50="","",VLOOKUP(E50,Catalogo!$B$10:$D$209,3,0)),"")</f>
        <v/>
      </c>
      <c r="H50" s="4"/>
      <c r="I50" s="4" t="str">
        <f>IF(E50="","",SUMPRODUCT((E$9:E50=E50)*(C$9:C50&lt;&gt;"Salida")*H$9:H50)-SUMPRODUCT((E$9:E50=E50)*(C$9:C50="Salida")*H$9:H50))</f>
        <v/>
      </c>
    </row>
    <row r="51" spans="2:9" ht="16.5" customHeight="1" x14ac:dyDescent="0.25">
      <c r="B51" s="6"/>
      <c r="C51" s="6"/>
      <c r="D51" s="6"/>
      <c r="E51" s="6"/>
      <c r="F51" s="7" t="str">
        <f>IFERROR(IF(E51="","",VLOOKUP(E51,Catalogo!$B$10:$D$209,2,0)),"")</f>
        <v/>
      </c>
      <c r="G51" s="7" t="str">
        <f>IFERROR(IF(E51="","",VLOOKUP(E51,Catalogo!$B$10:$D$209,3,0)),"")</f>
        <v/>
      </c>
      <c r="H51" s="6"/>
      <c r="I51" s="6" t="str">
        <f>IF(E51="","",SUMPRODUCT((E$9:E51=E51)*(C$9:C51&lt;&gt;"Salida")*H$9:H51)-SUMPRODUCT((E$9:E51=E51)*(C$9:C51="Salida")*H$9:H51))</f>
        <v/>
      </c>
    </row>
    <row r="52" spans="2:9" ht="16.5" customHeight="1" x14ac:dyDescent="0.25">
      <c r="B52" s="4"/>
      <c r="C52" s="4"/>
      <c r="D52" s="4"/>
      <c r="E52" s="4"/>
      <c r="F52" s="5" t="str">
        <f>IFERROR(IF(E52="","",VLOOKUP(E52,Catalogo!$B$10:$D$209,2,0)),"")</f>
        <v/>
      </c>
      <c r="G52" s="5" t="str">
        <f>IFERROR(IF(E52="","",VLOOKUP(E52,Catalogo!$B$10:$D$209,3,0)),"")</f>
        <v/>
      </c>
      <c r="H52" s="4"/>
      <c r="I52" s="4" t="str">
        <f>IF(E52="","",SUMPRODUCT((E$9:E52=E52)*(C$9:C52&lt;&gt;"Salida")*H$9:H52)-SUMPRODUCT((E$9:E52=E52)*(C$9:C52="Salida")*H$9:H52))</f>
        <v/>
      </c>
    </row>
    <row r="53" spans="2:9" ht="16.5" customHeight="1" x14ac:dyDescent="0.25">
      <c r="B53" s="6"/>
      <c r="C53" s="6"/>
      <c r="D53" s="6"/>
      <c r="E53" s="6"/>
      <c r="F53" s="7" t="str">
        <f>IFERROR(IF(E53="","",VLOOKUP(E53,Catalogo!$B$10:$D$209,2,0)),"")</f>
        <v/>
      </c>
      <c r="G53" s="7" t="str">
        <f>IFERROR(IF(E53="","",VLOOKUP(E53,Catalogo!$B$10:$D$209,3,0)),"")</f>
        <v/>
      </c>
      <c r="H53" s="6"/>
      <c r="I53" s="6" t="str">
        <f>IF(E53="","",SUMPRODUCT((E$9:E53=E53)*(C$9:C53&lt;&gt;"Salida")*H$9:H53)-SUMPRODUCT((E$9:E53=E53)*(C$9:C53="Salida")*H$9:H53))</f>
        <v/>
      </c>
    </row>
    <row r="54" spans="2:9" ht="16.5" customHeight="1" x14ac:dyDescent="0.25">
      <c r="B54" s="4"/>
      <c r="C54" s="4"/>
      <c r="D54" s="4"/>
      <c r="E54" s="4"/>
      <c r="F54" s="5" t="str">
        <f>IFERROR(IF(E54="","",VLOOKUP(E54,Catalogo!$B$10:$D$209,2,0)),"")</f>
        <v/>
      </c>
      <c r="G54" s="5" t="str">
        <f>IFERROR(IF(E54="","",VLOOKUP(E54,Catalogo!$B$10:$D$209,3,0)),"")</f>
        <v/>
      </c>
      <c r="H54" s="4"/>
      <c r="I54" s="4" t="str">
        <f>IF(E54="","",SUMPRODUCT((E$9:E54=E54)*(C$9:C54&lt;&gt;"Salida")*H$9:H54)-SUMPRODUCT((E$9:E54=E54)*(C$9:C54="Salida")*H$9:H54))</f>
        <v/>
      </c>
    </row>
    <row r="55" spans="2:9" ht="16.5" customHeight="1" x14ac:dyDescent="0.25">
      <c r="B55" s="6"/>
      <c r="C55" s="6"/>
      <c r="D55" s="6"/>
      <c r="E55" s="6"/>
      <c r="F55" s="7" t="str">
        <f>IFERROR(IF(E55="","",VLOOKUP(E55,Catalogo!$B$10:$D$209,2,0)),"")</f>
        <v/>
      </c>
      <c r="G55" s="7" t="str">
        <f>IFERROR(IF(E55="","",VLOOKUP(E55,Catalogo!$B$10:$D$209,3,0)),"")</f>
        <v/>
      </c>
      <c r="H55" s="6"/>
      <c r="I55" s="6" t="str">
        <f>IF(E55="","",SUMPRODUCT((E$9:E55=E55)*(C$9:C55&lt;&gt;"Salida")*H$9:H55)-SUMPRODUCT((E$9:E55=E55)*(C$9:C55="Salida")*H$9:H55))</f>
        <v/>
      </c>
    </row>
    <row r="56" spans="2:9" ht="16.5" customHeight="1" x14ac:dyDescent="0.25">
      <c r="B56" s="4"/>
      <c r="C56" s="4"/>
      <c r="D56" s="4"/>
      <c r="E56" s="4"/>
      <c r="F56" s="5" t="str">
        <f>IFERROR(IF(E56="","",VLOOKUP(E56,Catalogo!$B$10:$D$209,2,0)),"")</f>
        <v/>
      </c>
      <c r="G56" s="5" t="str">
        <f>IFERROR(IF(E56="","",VLOOKUP(E56,Catalogo!$B$10:$D$209,3,0)),"")</f>
        <v/>
      </c>
      <c r="H56" s="4"/>
      <c r="I56" s="4" t="str">
        <f>IF(E56="","",SUMPRODUCT((E$9:E56=E56)*(C$9:C56&lt;&gt;"Salida")*H$9:H56)-SUMPRODUCT((E$9:E56=E56)*(C$9:C56="Salida")*H$9:H56))</f>
        <v/>
      </c>
    </row>
    <row r="57" spans="2:9" ht="16.5" customHeight="1" x14ac:dyDescent="0.25">
      <c r="B57" s="6"/>
      <c r="C57" s="6"/>
      <c r="D57" s="6"/>
      <c r="E57" s="6"/>
      <c r="F57" s="7" t="str">
        <f>IFERROR(IF(E57="","",VLOOKUP(E57,Catalogo!$B$10:$D$209,2,0)),"")</f>
        <v/>
      </c>
      <c r="G57" s="7" t="str">
        <f>IFERROR(IF(E57="","",VLOOKUP(E57,Catalogo!$B$10:$D$209,3,0)),"")</f>
        <v/>
      </c>
      <c r="H57" s="6"/>
      <c r="I57" s="6" t="str">
        <f>IF(E57="","",SUMPRODUCT((E$9:E57=E57)*(C$9:C57&lt;&gt;"Salida")*H$9:H57)-SUMPRODUCT((E$9:E57=E57)*(C$9:C57="Salida")*H$9:H57))</f>
        <v/>
      </c>
    </row>
    <row r="58" spans="2:9" ht="16.5" customHeight="1" x14ac:dyDescent="0.25">
      <c r="B58" s="4"/>
      <c r="C58" s="4"/>
      <c r="D58" s="4"/>
      <c r="E58" s="4"/>
      <c r="F58" s="5" t="str">
        <f>IFERROR(IF(E58="","",VLOOKUP(E58,Catalogo!$B$10:$D$209,2,0)),"")</f>
        <v/>
      </c>
      <c r="G58" s="5" t="str">
        <f>IFERROR(IF(E58="","",VLOOKUP(E58,Catalogo!$B$10:$D$209,3,0)),"")</f>
        <v/>
      </c>
      <c r="H58" s="4"/>
      <c r="I58" s="4" t="str">
        <f>IF(E58="","",SUMPRODUCT((E$9:E58=E58)*(C$9:C58&lt;&gt;"Salida")*H$9:H58)-SUMPRODUCT((E$9:E58=E58)*(C$9:C58="Salida")*H$9:H58))</f>
        <v/>
      </c>
    </row>
    <row r="59" spans="2:9" ht="16.5" customHeight="1" x14ac:dyDescent="0.25">
      <c r="B59" s="6"/>
      <c r="C59" s="6"/>
      <c r="D59" s="6"/>
      <c r="E59" s="6"/>
      <c r="F59" s="7" t="str">
        <f>IFERROR(IF(E59="","",VLOOKUP(E59,Catalogo!$B$10:$D$209,2,0)),"")</f>
        <v/>
      </c>
      <c r="G59" s="7" t="str">
        <f>IFERROR(IF(E59="","",VLOOKUP(E59,Catalogo!$B$10:$D$209,3,0)),"")</f>
        <v/>
      </c>
      <c r="H59" s="6"/>
      <c r="I59" s="6" t="str">
        <f>IF(E59="","",SUMPRODUCT((E$9:E59=E59)*(C$9:C59&lt;&gt;"Salida")*H$9:H59)-SUMPRODUCT((E$9:E59=E59)*(C$9:C59="Salida")*H$9:H59))</f>
        <v/>
      </c>
    </row>
    <row r="60" spans="2:9" ht="16.5" customHeight="1" x14ac:dyDescent="0.25">
      <c r="B60" s="4"/>
      <c r="C60" s="4"/>
      <c r="D60" s="4"/>
      <c r="E60" s="4"/>
      <c r="F60" s="5" t="str">
        <f>IFERROR(IF(E60="","",VLOOKUP(E60,Catalogo!$B$10:$D$209,2,0)),"")</f>
        <v/>
      </c>
      <c r="G60" s="5" t="str">
        <f>IFERROR(IF(E60="","",VLOOKUP(E60,Catalogo!$B$10:$D$209,3,0)),"")</f>
        <v/>
      </c>
      <c r="H60" s="4"/>
      <c r="I60" s="4" t="str">
        <f>IF(E60="","",SUMPRODUCT((E$9:E60=E60)*(C$9:C60&lt;&gt;"Salida")*H$9:H60)-SUMPRODUCT((E$9:E60=E60)*(C$9:C60="Salida")*H$9:H60))</f>
        <v/>
      </c>
    </row>
    <row r="61" spans="2:9" ht="16.5" customHeight="1" x14ac:dyDescent="0.25">
      <c r="B61" s="6"/>
      <c r="C61" s="6"/>
      <c r="D61" s="6"/>
      <c r="E61" s="6"/>
      <c r="F61" s="7" t="str">
        <f>IFERROR(IF(E61="","",VLOOKUP(E61,Catalogo!$B$10:$D$209,2,0)),"")</f>
        <v/>
      </c>
      <c r="G61" s="7" t="str">
        <f>IFERROR(IF(E61="","",VLOOKUP(E61,Catalogo!$B$10:$D$209,3,0)),"")</f>
        <v/>
      </c>
      <c r="H61" s="6"/>
      <c r="I61" s="6" t="str">
        <f>IF(E61="","",SUMPRODUCT((E$9:E61=E61)*(C$9:C61&lt;&gt;"Salida")*H$9:H61)-SUMPRODUCT((E$9:E61=E61)*(C$9:C61="Salida")*H$9:H61))</f>
        <v/>
      </c>
    </row>
    <row r="62" spans="2:9" ht="16.5" customHeight="1" x14ac:dyDescent="0.25">
      <c r="B62" s="4"/>
      <c r="C62" s="4"/>
      <c r="D62" s="4"/>
      <c r="E62" s="4"/>
      <c r="F62" s="5" t="str">
        <f>IFERROR(IF(E62="","",VLOOKUP(E62,Catalogo!$B$10:$D$209,2,0)),"")</f>
        <v/>
      </c>
      <c r="G62" s="5" t="str">
        <f>IFERROR(IF(E62="","",VLOOKUP(E62,Catalogo!$B$10:$D$209,3,0)),"")</f>
        <v/>
      </c>
      <c r="H62" s="4"/>
      <c r="I62" s="4" t="str">
        <f>IF(E62="","",SUMPRODUCT((E$9:E62=E62)*(C$9:C62&lt;&gt;"Salida")*H$9:H62)-SUMPRODUCT((E$9:E62=E62)*(C$9:C62="Salida")*H$9:H62))</f>
        <v/>
      </c>
    </row>
    <row r="63" spans="2:9" ht="16.5" customHeight="1" x14ac:dyDescent="0.25">
      <c r="B63" s="6"/>
      <c r="C63" s="6"/>
      <c r="D63" s="6"/>
      <c r="E63" s="6"/>
      <c r="F63" s="7" t="str">
        <f>IFERROR(IF(E63="","",VLOOKUP(E63,Catalogo!$B$10:$D$209,2,0)),"")</f>
        <v/>
      </c>
      <c r="G63" s="7" t="str">
        <f>IFERROR(IF(E63="","",VLOOKUP(E63,Catalogo!$B$10:$D$209,3,0)),"")</f>
        <v/>
      </c>
      <c r="H63" s="6"/>
      <c r="I63" s="6" t="str">
        <f>IF(E63="","",SUMPRODUCT((E$9:E63=E63)*(C$9:C63&lt;&gt;"Salida")*H$9:H63)-SUMPRODUCT((E$9:E63=E63)*(C$9:C63="Salida")*H$9:H63))</f>
        <v/>
      </c>
    </row>
    <row r="64" spans="2:9" ht="16.5" customHeight="1" x14ac:dyDescent="0.25">
      <c r="B64" s="4"/>
      <c r="C64" s="4"/>
      <c r="D64" s="4"/>
      <c r="E64" s="4"/>
      <c r="F64" s="5" t="str">
        <f>IFERROR(IF(E64="","",VLOOKUP(E64,Catalogo!$B$10:$D$209,2,0)),"")</f>
        <v/>
      </c>
      <c r="G64" s="5" t="str">
        <f>IFERROR(IF(E64="","",VLOOKUP(E64,Catalogo!$B$10:$D$209,3,0)),"")</f>
        <v/>
      </c>
      <c r="H64" s="4"/>
      <c r="I64" s="4" t="str">
        <f>IF(E64="","",SUMPRODUCT((E$9:E64=E64)*(C$9:C64&lt;&gt;"Salida")*H$9:H64)-SUMPRODUCT((E$9:E64=E64)*(C$9:C64="Salida")*H$9:H64))</f>
        <v/>
      </c>
    </row>
    <row r="65" spans="2:9" ht="16.5" customHeight="1" x14ac:dyDescent="0.25">
      <c r="B65" s="6"/>
      <c r="C65" s="6"/>
      <c r="D65" s="6"/>
      <c r="E65" s="6"/>
      <c r="F65" s="7" t="str">
        <f>IFERROR(IF(E65="","",VLOOKUP(E65,Catalogo!$B$10:$D$209,2,0)),"")</f>
        <v/>
      </c>
      <c r="G65" s="7" t="str">
        <f>IFERROR(IF(E65="","",VLOOKUP(E65,Catalogo!$B$10:$D$209,3,0)),"")</f>
        <v/>
      </c>
      <c r="H65" s="6"/>
      <c r="I65" s="6" t="str">
        <f>IF(E65="","",SUMPRODUCT((E$9:E65=E65)*(C$9:C65&lt;&gt;"Salida")*H$9:H65)-SUMPRODUCT((E$9:E65=E65)*(C$9:C65="Salida")*H$9:H65))</f>
        <v/>
      </c>
    </row>
    <row r="66" spans="2:9" ht="16.5" customHeight="1" x14ac:dyDescent="0.25">
      <c r="B66" s="4"/>
      <c r="C66" s="4"/>
      <c r="D66" s="4"/>
      <c r="E66" s="4"/>
      <c r="F66" s="5" t="str">
        <f>IFERROR(IF(E66="","",VLOOKUP(E66,Catalogo!$B$10:$D$209,2,0)),"")</f>
        <v/>
      </c>
      <c r="G66" s="5" t="str">
        <f>IFERROR(IF(E66="","",VLOOKUP(E66,Catalogo!$B$10:$D$209,3,0)),"")</f>
        <v/>
      </c>
      <c r="H66" s="4"/>
      <c r="I66" s="4" t="str">
        <f>IF(E66="","",SUMPRODUCT((E$9:E66=E66)*(C$9:C66&lt;&gt;"Salida")*H$9:H66)-SUMPRODUCT((E$9:E66=E66)*(C$9:C66="Salida")*H$9:H66))</f>
        <v/>
      </c>
    </row>
    <row r="67" spans="2:9" ht="16.5" customHeight="1" x14ac:dyDescent="0.25">
      <c r="B67" s="6"/>
      <c r="C67" s="6"/>
      <c r="D67" s="6"/>
      <c r="E67" s="6"/>
      <c r="F67" s="7" t="str">
        <f>IFERROR(IF(E67="","",VLOOKUP(E67,Catalogo!$B$10:$D$209,2,0)),"")</f>
        <v/>
      </c>
      <c r="G67" s="7" t="str">
        <f>IFERROR(IF(E67="","",VLOOKUP(E67,Catalogo!$B$10:$D$209,3,0)),"")</f>
        <v/>
      </c>
      <c r="H67" s="6"/>
      <c r="I67" s="6" t="str">
        <f>IF(E67="","",SUMPRODUCT((E$9:E67=E67)*(C$9:C67&lt;&gt;"Salida")*H$9:H67)-SUMPRODUCT((E$9:E67=E67)*(C$9:C67="Salida")*H$9:H67))</f>
        <v/>
      </c>
    </row>
    <row r="68" spans="2:9" ht="16.5" customHeight="1" x14ac:dyDescent="0.25">
      <c r="B68" s="4"/>
      <c r="C68" s="4"/>
      <c r="D68" s="4"/>
      <c r="E68" s="4"/>
      <c r="F68" s="5" t="str">
        <f>IFERROR(IF(E68="","",VLOOKUP(E68,Catalogo!$B$10:$D$209,2,0)),"")</f>
        <v/>
      </c>
      <c r="G68" s="5" t="str">
        <f>IFERROR(IF(E68="","",VLOOKUP(E68,Catalogo!$B$10:$D$209,3,0)),"")</f>
        <v/>
      </c>
      <c r="H68" s="4"/>
      <c r="I68" s="4" t="str">
        <f>IF(E68="","",SUMPRODUCT((E$9:E68=E68)*(C$9:C68&lt;&gt;"Salida")*H$9:H68)-SUMPRODUCT((E$9:E68=E68)*(C$9:C68="Salida")*H$9:H68))</f>
        <v/>
      </c>
    </row>
    <row r="69" spans="2:9" ht="16.5" customHeight="1" x14ac:dyDescent="0.25">
      <c r="B69" s="6"/>
      <c r="C69" s="6"/>
      <c r="D69" s="6"/>
      <c r="E69" s="6"/>
      <c r="F69" s="7" t="str">
        <f>IFERROR(IF(E69="","",VLOOKUP(E69,Catalogo!$B$10:$D$209,2,0)),"")</f>
        <v/>
      </c>
      <c r="G69" s="7" t="str">
        <f>IFERROR(IF(E69="","",VLOOKUP(E69,Catalogo!$B$10:$D$209,3,0)),"")</f>
        <v/>
      </c>
      <c r="H69" s="6"/>
      <c r="I69" s="6" t="str">
        <f>IF(E69="","",SUMPRODUCT((E$9:E69=E69)*(C$9:C69&lt;&gt;"Salida")*H$9:H69)-SUMPRODUCT((E$9:E69=E69)*(C$9:C69="Salida")*H$9:H69))</f>
        <v/>
      </c>
    </row>
    <row r="70" spans="2:9" ht="16.5" customHeight="1" x14ac:dyDescent="0.25">
      <c r="B70" s="4"/>
      <c r="C70" s="4"/>
      <c r="D70" s="4"/>
      <c r="E70" s="4"/>
      <c r="F70" s="5" t="str">
        <f>IFERROR(IF(E70="","",VLOOKUP(E70,Catalogo!$B$10:$D$209,2,0)),"")</f>
        <v/>
      </c>
      <c r="G70" s="5" t="str">
        <f>IFERROR(IF(E70="","",VLOOKUP(E70,Catalogo!$B$10:$D$209,3,0)),"")</f>
        <v/>
      </c>
      <c r="H70" s="4"/>
      <c r="I70" s="4" t="str">
        <f>IF(E70="","",SUMPRODUCT((E$9:E70=E70)*(C$9:C70&lt;&gt;"Salida")*H$9:H70)-SUMPRODUCT((E$9:E70=E70)*(C$9:C70="Salida")*H$9:H70))</f>
        <v/>
      </c>
    </row>
    <row r="71" spans="2:9" ht="16.5" customHeight="1" x14ac:dyDescent="0.25">
      <c r="B71" s="6"/>
      <c r="C71" s="6"/>
      <c r="D71" s="6"/>
      <c r="E71" s="6"/>
      <c r="F71" s="7" t="str">
        <f>IFERROR(IF(E71="","",VLOOKUP(E71,Catalogo!$B$10:$D$209,2,0)),"")</f>
        <v/>
      </c>
      <c r="G71" s="7" t="str">
        <f>IFERROR(IF(E71="","",VLOOKUP(E71,Catalogo!$B$10:$D$209,3,0)),"")</f>
        <v/>
      </c>
      <c r="H71" s="6"/>
      <c r="I71" s="6" t="str">
        <f>IF(E71="","",SUMPRODUCT((E$9:E71=E71)*(C$9:C71&lt;&gt;"Salida")*H$9:H71)-SUMPRODUCT((E$9:E71=E71)*(C$9:C71="Salida")*H$9:H71))</f>
        <v/>
      </c>
    </row>
    <row r="72" spans="2:9" ht="16.5" customHeight="1" x14ac:dyDescent="0.25">
      <c r="B72" s="4"/>
      <c r="C72" s="4"/>
      <c r="D72" s="4"/>
      <c r="E72" s="4"/>
      <c r="F72" s="5" t="str">
        <f>IFERROR(IF(E72="","",VLOOKUP(E72,Catalogo!$B$10:$D$209,2,0)),"")</f>
        <v/>
      </c>
      <c r="G72" s="5" t="str">
        <f>IFERROR(IF(E72="","",VLOOKUP(E72,Catalogo!$B$10:$D$209,3,0)),"")</f>
        <v/>
      </c>
      <c r="H72" s="4"/>
      <c r="I72" s="4" t="str">
        <f>IF(E72="","",SUMPRODUCT((E$9:E72=E72)*(C$9:C72&lt;&gt;"Salida")*H$9:H72)-SUMPRODUCT((E$9:E72=E72)*(C$9:C72="Salida")*H$9:H72))</f>
        <v/>
      </c>
    </row>
    <row r="73" spans="2:9" ht="16.5" customHeight="1" x14ac:dyDescent="0.25">
      <c r="B73" s="6"/>
      <c r="C73" s="6"/>
      <c r="D73" s="6"/>
      <c r="E73" s="6"/>
      <c r="F73" s="7" t="str">
        <f>IFERROR(IF(E73="","",VLOOKUP(E73,Catalogo!$B$10:$D$209,2,0)),"")</f>
        <v/>
      </c>
      <c r="G73" s="7" t="str">
        <f>IFERROR(IF(E73="","",VLOOKUP(E73,Catalogo!$B$10:$D$209,3,0)),"")</f>
        <v/>
      </c>
      <c r="H73" s="6"/>
      <c r="I73" s="6" t="str">
        <f>IF(E73="","",SUMPRODUCT((E$9:E73=E73)*(C$9:C73&lt;&gt;"Salida")*H$9:H73)-SUMPRODUCT((E$9:E73=E73)*(C$9:C73="Salida")*H$9:H73))</f>
        <v/>
      </c>
    </row>
    <row r="74" spans="2:9" ht="16.5" customHeight="1" x14ac:dyDescent="0.25">
      <c r="B74" s="4"/>
      <c r="C74" s="4"/>
      <c r="D74" s="4"/>
      <c r="E74" s="4"/>
      <c r="F74" s="5" t="str">
        <f>IFERROR(IF(E74="","",VLOOKUP(E74,Catalogo!$B$10:$D$209,2,0)),"")</f>
        <v/>
      </c>
      <c r="G74" s="5" t="str">
        <f>IFERROR(IF(E74="","",VLOOKUP(E74,Catalogo!$B$10:$D$209,3,0)),"")</f>
        <v/>
      </c>
      <c r="H74" s="4"/>
      <c r="I74" s="4" t="str">
        <f>IF(E74="","",SUMPRODUCT((E$9:E74=E74)*(C$9:C74&lt;&gt;"Salida")*H$9:H74)-SUMPRODUCT((E$9:E74=E74)*(C$9:C74="Salida")*H$9:H74))</f>
        <v/>
      </c>
    </row>
    <row r="75" spans="2:9" ht="16.5" customHeight="1" x14ac:dyDescent="0.25">
      <c r="B75" s="6"/>
      <c r="C75" s="6"/>
      <c r="D75" s="6"/>
      <c r="E75" s="6"/>
      <c r="F75" s="7" t="str">
        <f>IFERROR(IF(E75="","",VLOOKUP(E75,Catalogo!$B$10:$D$209,2,0)),"")</f>
        <v/>
      </c>
      <c r="G75" s="7" t="str">
        <f>IFERROR(IF(E75="","",VLOOKUP(E75,Catalogo!$B$10:$D$209,3,0)),"")</f>
        <v/>
      </c>
      <c r="H75" s="6"/>
      <c r="I75" s="6" t="str">
        <f>IF(E75="","",SUMPRODUCT((E$9:E75=E75)*(C$9:C75&lt;&gt;"Salida")*H$9:H75)-SUMPRODUCT((E$9:E75=E75)*(C$9:C75="Salida")*H$9:H75))</f>
        <v/>
      </c>
    </row>
    <row r="76" spans="2:9" ht="16.5" customHeight="1" x14ac:dyDescent="0.25">
      <c r="B76" s="4"/>
      <c r="C76" s="4"/>
      <c r="D76" s="4"/>
      <c r="E76" s="4"/>
      <c r="F76" s="5" t="str">
        <f>IFERROR(IF(E76="","",VLOOKUP(E76,Catalogo!$B$10:$D$209,2,0)),"")</f>
        <v/>
      </c>
      <c r="G76" s="5" t="str">
        <f>IFERROR(IF(E76="","",VLOOKUP(E76,Catalogo!$B$10:$D$209,3,0)),"")</f>
        <v/>
      </c>
      <c r="H76" s="4"/>
      <c r="I76" s="4" t="str">
        <f>IF(E76="","",SUMPRODUCT((E$9:E76=E76)*(C$9:C76&lt;&gt;"Salida")*H$9:H76)-SUMPRODUCT((E$9:E76=E76)*(C$9:C76="Salida")*H$9:H76))</f>
        <v/>
      </c>
    </row>
    <row r="77" spans="2:9" ht="16.5" customHeight="1" x14ac:dyDescent="0.25">
      <c r="B77" s="6"/>
      <c r="C77" s="6"/>
      <c r="D77" s="6"/>
      <c r="E77" s="6"/>
      <c r="F77" s="7" t="str">
        <f>IFERROR(IF(E77="","",VLOOKUP(E77,Catalogo!$B$10:$D$209,2,0)),"")</f>
        <v/>
      </c>
      <c r="G77" s="7" t="str">
        <f>IFERROR(IF(E77="","",VLOOKUP(E77,Catalogo!$B$10:$D$209,3,0)),"")</f>
        <v/>
      </c>
      <c r="H77" s="6"/>
      <c r="I77" s="6" t="str">
        <f>IF(E77="","",SUMPRODUCT((E$9:E77=E77)*(C$9:C77&lt;&gt;"Salida")*H$9:H77)-SUMPRODUCT((E$9:E77=E77)*(C$9:C77="Salida")*H$9:H77))</f>
        <v/>
      </c>
    </row>
    <row r="78" spans="2:9" ht="16.5" customHeight="1" x14ac:dyDescent="0.25">
      <c r="B78" s="4"/>
      <c r="C78" s="4"/>
      <c r="D78" s="4"/>
      <c r="E78" s="4"/>
      <c r="F78" s="5" t="str">
        <f>IFERROR(IF(E78="","",VLOOKUP(E78,Catalogo!$B$10:$D$209,2,0)),"")</f>
        <v/>
      </c>
      <c r="G78" s="5" t="str">
        <f>IFERROR(IF(E78="","",VLOOKUP(E78,Catalogo!$B$10:$D$209,3,0)),"")</f>
        <v/>
      </c>
      <c r="H78" s="4"/>
      <c r="I78" s="4" t="str">
        <f>IF(E78="","",SUMPRODUCT((E$9:E78=E78)*(C$9:C78&lt;&gt;"Salida")*H$9:H78)-SUMPRODUCT((E$9:E78=E78)*(C$9:C78="Salida")*H$9:H78))</f>
        <v/>
      </c>
    </row>
    <row r="79" spans="2:9" ht="16.5" customHeight="1" x14ac:dyDescent="0.25">
      <c r="B79" s="6"/>
      <c r="C79" s="6"/>
      <c r="D79" s="6"/>
      <c r="E79" s="6"/>
      <c r="F79" s="7" t="str">
        <f>IFERROR(IF(E79="","",VLOOKUP(E79,Catalogo!$B$10:$D$209,2,0)),"")</f>
        <v/>
      </c>
      <c r="G79" s="7" t="str">
        <f>IFERROR(IF(E79="","",VLOOKUP(E79,Catalogo!$B$10:$D$209,3,0)),"")</f>
        <v/>
      </c>
      <c r="H79" s="6"/>
      <c r="I79" s="6" t="str">
        <f>IF(E79="","",SUMPRODUCT((E$9:E79=E79)*(C$9:C79&lt;&gt;"Salida")*H$9:H79)-SUMPRODUCT((E$9:E79=E79)*(C$9:C79="Salida")*H$9:H79))</f>
        <v/>
      </c>
    </row>
    <row r="80" spans="2:9" ht="16.5" customHeight="1" x14ac:dyDescent="0.25">
      <c r="B80" s="4"/>
      <c r="C80" s="4"/>
      <c r="D80" s="4"/>
      <c r="E80" s="4"/>
      <c r="F80" s="5" t="str">
        <f>IFERROR(IF(E80="","",VLOOKUP(E80,Catalogo!$B$10:$D$209,2,0)),"")</f>
        <v/>
      </c>
      <c r="G80" s="5" t="str">
        <f>IFERROR(IF(E80="","",VLOOKUP(E80,Catalogo!$B$10:$D$209,3,0)),"")</f>
        <v/>
      </c>
      <c r="H80" s="4"/>
      <c r="I80" s="4" t="str">
        <f>IF(E80="","",SUMPRODUCT((E$9:E80=E80)*(C$9:C80&lt;&gt;"Salida")*H$9:H80)-SUMPRODUCT((E$9:E80=E80)*(C$9:C80="Salida")*H$9:H80))</f>
        <v/>
      </c>
    </row>
    <row r="81" spans="2:9" ht="16.5" customHeight="1" x14ac:dyDescent="0.25">
      <c r="B81" s="6"/>
      <c r="C81" s="6"/>
      <c r="D81" s="6"/>
      <c r="E81" s="6"/>
      <c r="F81" s="7" t="str">
        <f>IFERROR(IF(E81="","",VLOOKUP(E81,Catalogo!$B$10:$D$209,2,0)),"")</f>
        <v/>
      </c>
      <c r="G81" s="7" t="str">
        <f>IFERROR(IF(E81="","",VLOOKUP(E81,Catalogo!$B$10:$D$209,3,0)),"")</f>
        <v/>
      </c>
      <c r="H81" s="6"/>
      <c r="I81" s="6" t="str">
        <f>IF(E81="","",SUMPRODUCT((E$9:E81=E81)*(C$9:C81&lt;&gt;"Salida")*H$9:H81)-SUMPRODUCT((E$9:E81=E81)*(C$9:C81="Salida")*H$9:H81))</f>
        <v/>
      </c>
    </row>
    <row r="82" spans="2:9" ht="16.5" customHeight="1" x14ac:dyDescent="0.25">
      <c r="B82" s="4"/>
      <c r="C82" s="4"/>
      <c r="D82" s="4"/>
      <c r="E82" s="4"/>
      <c r="F82" s="5" t="str">
        <f>IFERROR(IF(E82="","",VLOOKUP(E82,Catalogo!$B$10:$D$209,2,0)),"")</f>
        <v/>
      </c>
      <c r="G82" s="5" t="str">
        <f>IFERROR(IF(E82="","",VLOOKUP(E82,Catalogo!$B$10:$D$209,3,0)),"")</f>
        <v/>
      </c>
      <c r="H82" s="4"/>
      <c r="I82" s="4" t="str">
        <f>IF(E82="","",SUMPRODUCT((E$9:E82=E82)*(C$9:C82&lt;&gt;"Salida")*H$9:H82)-SUMPRODUCT((E$9:E82=E82)*(C$9:C82="Salida")*H$9:H82))</f>
        <v/>
      </c>
    </row>
    <row r="83" spans="2:9" ht="16.5" customHeight="1" x14ac:dyDescent="0.25">
      <c r="B83" s="6"/>
      <c r="C83" s="6"/>
      <c r="D83" s="6"/>
      <c r="E83" s="6"/>
      <c r="F83" s="7" t="str">
        <f>IFERROR(IF(E83="","",VLOOKUP(E83,Catalogo!$B$10:$D$209,2,0)),"")</f>
        <v/>
      </c>
      <c r="G83" s="7" t="str">
        <f>IFERROR(IF(E83="","",VLOOKUP(E83,Catalogo!$B$10:$D$209,3,0)),"")</f>
        <v/>
      </c>
      <c r="H83" s="6"/>
      <c r="I83" s="6" t="str">
        <f>IF(E83="","",SUMPRODUCT((E$9:E83=E83)*(C$9:C83&lt;&gt;"Salida")*H$9:H83)-SUMPRODUCT((E$9:E83=E83)*(C$9:C83="Salida")*H$9:H83))</f>
        <v/>
      </c>
    </row>
    <row r="84" spans="2:9" ht="16.5" customHeight="1" x14ac:dyDescent="0.25">
      <c r="B84" s="4"/>
      <c r="C84" s="4"/>
      <c r="D84" s="4"/>
      <c r="E84" s="4"/>
      <c r="F84" s="5" t="str">
        <f>IFERROR(IF(E84="","",VLOOKUP(E84,Catalogo!$B$10:$D$209,2,0)),"")</f>
        <v/>
      </c>
      <c r="G84" s="5" t="str">
        <f>IFERROR(IF(E84="","",VLOOKUP(E84,Catalogo!$B$10:$D$209,3,0)),"")</f>
        <v/>
      </c>
      <c r="H84" s="4"/>
      <c r="I84" s="4" t="str">
        <f>IF(E84="","",SUMPRODUCT((E$9:E84=E84)*(C$9:C84&lt;&gt;"Salida")*H$9:H84)-SUMPRODUCT((E$9:E84=E84)*(C$9:C84="Salida")*H$9:H84))</f>
        <v/>
      </c>
    </row>
    <row r="85" spans="2:9" ht="16.5" customHeight="1" x14ac:dyDescent="0.25">
      <c r="B85" s="6"/>
      <c r="C85" s="6"/>
      <c r="D85" s="6"/>
      <c r="E85" s="6"/>
      <c r="F85" s="7" t="str">
        <f>IFERROR(IF(E85="","",VLOOKUP(E85,Catalogo!$B$10:$D$209,2,0)),"")</f>
        <v/>
      </c>
      <c r="G85" s="7" t="str">
        <f>IFERROR(IF(E85="","",VLOOKUP(E85,Catalogo!$B$10:$D$209,3,0)),"")</f>
        <v/>
      </c>
      <c r="H85" s="6"/>
      <c r="I85" s="6" t="str">
        <f>IF(E85="","",SUMPRODUCT((E$9:E85=E85)*(C$9:C85&lt;&gt;"Salida")*H$9:H85)-SUMPRODUCT((E$9:E85=E85)*(C$9:C85="Salida")*H$9:H85))</f>
        <v/>
      </c>
    </row>
    <row r="86" spans="2:9" ht="16.5" customHeight="1" x14ac:dyDescent="0.25">
      <c r="B86" s="4"/>
      <c r="C86" s="4"/>
      <c r="D86" s="4"/>
      <c r="E86" s="4"/>
      <c r="F86" s="5" t="str">
        <f>IFERROR(IF(E86="","",VLOOKUP(E86,Catalogo!$B$10:$D$209,2,0)),"")</f>
        <v/>
      </c>
      <c r="G86" s="5" t="str">
        <f>IFERROR(IF(E86="","",VLOOKUP(E86,Catalogo!$B$10:$D$209,3,0)),"")</f>
        <v/>
      </c>
      <c r="H86" s="4"/>
      <c r="I86" s="4" t="str">
        <f>IF(E86="","",SUMPRODUCT((E$9:E86=E86)*(C$9:C86&lt;&gt;"Salida")*H$9:H86)-SUMPRODUCT((E$9:E86=E86)*(C$9:C86="Salida")*H$9:H86))</f>
        <v/>
      </c>
    </row>
    <row r="87" spans="2:9" ht="16.5" customHeight="1" x14ac:dyDescent="0.25">
      <c r="B87" s="6"/>
      <c r="C87" s="6"/>
      <c r="D87" s="6"/>
      <c r="E87" s="6"/>
      <c r="F87" s="7" t="str">
        <f>IFERROR(IF(E87="","",VLOOKUP(E87,Catalogo!$B$10:$D$209,2,0)),"")</f>
        <v/>
      </c>
      <c r="G87" s="7" t="str">
        <f>IFERROR(IF(E87="","",VLOOKUP(E87,Catalogo!$B$10:$D$209,3,0)),"")</f>
        <v/>
      </c>
      <c r="H87" s="6"/>
      <c r="I87" s="6" t="str">
        <f>IF(E87="","",SUMPRODUCT((E$9:E87=E87)*(C$9:C87&lt;&gt;"Salida")*H$9:H87)-SUMPRODUCT((E$9:E87=E87)*(C$9:C87="Salida")*H$9:H87))</f>
        <v/>
      </c>
    </row>
    <row r="88" spans="2:9" ht="16.5" customHeight="1" x14ac:dyDescent="0.25">
      <c r="B88" s="4"/>
      <c r="C88" s="4"/>
      <c r="D88" s="4"/>
      <c r="E88" s="4"/>
      <c r="F88" s="5" t="str">
        <f>IFERROR(IF(E88="","",VLOOKUP(E88,Catalogo!$B$10:$D$209,2,0)),"")</f>
        <v/>
      </c>
      <c r="G88" s="5" t="str">
        <f>IFERROR(IF(E88="","",VLOOKUP(E88,Catalogo!$B$10:$D$209,3,0)),"")</f>
        <v/>
      </c>
      <c r="H88" s="4"/>
      <c r="I88" s="4" t="str">
        <f>IF(E88="","",SUMPRODUCT((E$9:E88=E88)*(C$9:C88&lt;&gt;"Salida")*H$9:H88)-SUMPRODUCT((E$9:E88=E88)*(C$9:C88="Salida")*H$9:H88))</f>
        <v/>
      </c>
    </row>
    <row r="89" spans="2:9" ht="16.5" customHeight="1" x14ac:dyDescent="0.25">
      <c r="B89" s="6"/>
      <c r="C89" s="6"/>
      <c r="D89" s="6"/>
      <c r="E89" s="6"/>
      <c r="F89" s="7" t="str">
        <f>IFERROR(IF(E89="","",VLOOKUP(E89,Catalogo!$B$10:$D$209,2,0)),"")</f>
        <v/>
      </c>
      <c r="G89" s="7" t="str">
        <f>IFERROR(IF(E89="","",VLOOKUP(E89,Catalogo!$B$10:$D$209,3,0)),"")</f>
        <v/>
      </c>
      <c r="H89" s="6"/>
      <c r="I89" s="6" t="str">
        <f>IF(E89="","",SUMPRODUCT((E$9:E89=E89)*(C$9:C89&lt;&gt;"Salida")*H$9:H89)-SUMPRODUCT((E$9:E89=E89)*(C$9:C89="Salida")*H$9:H89))</f>
        <v/>
      </c>
    </row>
    <row r="90" spans="2:9" ht="16.5" customHeight="1" x14ac:dyDescent="0.25">
      <c r="B90" s="4"/>
      <c r="C90" s="4"/>
      <c r="D90" s="4"/>
      <c r="E90" s="4"/>
      <c r="F90" s="5" t="str">
        <f>IFERROR(IF(E90="","",VLOOKUP(E90,Catalogo!$B$10:$D$209,2,0)),"")</f>
        <v/>
      </c>
      <c r="G90" s="5" t="str">
        <f>IFERROR(IF(E90="","",VLOOKUP(E90,Catalogo!$B$10:$D$209,3,0)),"")</f>
        <v/>
      </c>
      <c r="H90" s="4"/>
      <c r="I90" s="4" t="str">
        <f>IF(E90="","",SUMPRODUCT((E$9:E90=E90)*(C$9:C90&lt;&gt;"Salida")*H$9:H90)-SUMPRODUCT((E$9:E90=E90)*(C$9:C90="Salida")*H$9:H90))</f>
        <v/>
      </c>
    </row>
    <row r="91" spans="2:9" ht="16.5" customHeight="1" x14ac:dyDescent="0.25">
      <c r="B91" s="6"/>
      <c r="C91" s="6"/>
      <c r="D91" s="6"/>
      <c r="E91" s="6"/>
      <c r="F91" s="7" t="str">
        <f>IFERROR(IF(E91="","",VLOOKUP(E91,Catalogo!$B$10:$D$209,2,0)),"")</f>
        <v/>
      </c>
      <c r="G91" s="7" t="str">
        <f>IFERROR(IF(E91="","",VLOOKUP(E91,Catalogo!$B$10:$D$209,3,0)),"")</f>
        <v/>
      </c>
      <c r="H91" s="6"/>
      <c r="I91" s="6" t="str">
        <f>IF(E91="","",SUMPRODUCT((E$9:E91=E91)*(C$9:C91&lt;&gt;"Salida")*H$9:H91)-SUMPRODUCT((E$9:E91=E91)*(C$9:C91="Salida")*H$9:H91))</f>
        <v/>
      </c>
    </row>
    <row r="92" spans="2:9" ht="16.5" customHeight="1" x14ac:dyDescent="0.25">
      <c r="B92" s="4"/>
      <c r="C92" s="4"/>
      <c r="D92" s="4"/>
      <c r="E92" s="4"/>
      <c r="F92" s="5" t="str">
        <f>IFERROR(IF(E92="","",VLOOKUP(E92,Catalogo!$B$10:$D$209,2,0)),"")</f>
        <v/>
      </c>
      <c r="G92" s="5" t="str">
        <f>IFERROR(IF(E92="","",VLOOKUP(E92,Catalogo!$B$10:$D$209,3,0)),"")</f>
        <v/>
      </c>
      <c r="H92" s="4"/>
      <c r="I92" s="4" t="str">
        <f>IF(E92="","",SUMPRODUCT((E$9:E92=E92)*(C$9:C92&lt;&gt;"Salida")*H$9:H92)-SUMPRODUCT((E$9:E92=E92)*(C$9:C92="Salida")*H$9:H92))</f>
        <v/>
      </c>
    </row>
    <row r="93" spans="2:9" ht="16.5" customHeight="1" x14ac:dyDescent="0.25">
      <c r="B93" s="6"/>
      <c r="C93" s="6"/>
      <c r="D93" s="6"/>
      <c r="E93" s="6"/>
      <c r="F93" s="7" t="str">
        <f>IFERROR(IF(E93="","",VLOOKUP(E93,Catalogo!$B$10:$D$209,2,0)),"")</f>
        <v/>
      </c>
      <c r="G93" s="7" t="str">
        <f>IFERROR(IF(E93="","",VLOOKUP(E93,Catalogo!$B$10:$D$209,3,0)),"")</f>
        <v/>
      </c>
      <c r="H93" s="6"/>
      <c r="I93" s="6" t="str">
        <f>IF(E93="","",SUMPRODUCT((E$9:E93=E93)*(C$9:C93&lt;&gt;"Salida")*H$9:H93)-SUMPRODUCT((E$9:E93=E93)*(C$9:C93="Salida")*H$9:H93))</f>
        <v/>
      </c>
    </row>
    <row r="94" spans="2:9" ht="16.5" customHeight="1" x14ac:dyDescent="0.25">
      <c r="B94" s="4"/>
      <c r="C94" s="4"/>
      <c r="D94" s="4"/>
      <c r="E94" s="4"/>
      <c r="F94" s="5" t="str">
        <f>IFERROR(IF(E94="","",VLOOKUP(E94,Catalogo!$B$10:$D$209,2,0)),"")</f>
        <v/>
      </c>
      <c r="G94" s="5" t="str">
        <f>IFERROR(IF(E94="","",VLOOKUP(E94,Catalogo!$B$10:$D$209,3,0)),"")</f>
        <v/>
      </c>
      <c r="H94" s="4"/>
      <c r="I94" s="4" t="str">
        <f>IF(E94="","",SUMPRODUCT((E$9:E94=E94)*(C$9:C94&lt;&gt;"Salida")*H$9:H94)-SUMPRODUCT((E$9:E94=E94)*(C$9:C94="Salida")*H$9:H94))</f>
        <v/>
      </c>
    </row>
    <row r="95" spans="2:9" ht="16.5" customHeight="1" x14ac:dyDescent="0.25">
      <c r="B95" s="6"/>
      <c r="C95" s="6"/>
      <c r="D95" s="6"/>
      <c r="E95" s="6"/>
      <c r="F95" s="7" t="str">
        <f>IFERROR(IF(E95="","",VLOOKUP(E95,Catalogo!$B$10:$D$209,2,0)),"")</f>
        <v/>
      </c>
      <c r="G95" s="7" t="str">
        <f>IFERROR(IF(E95="","",VLOOKUP(E95,Catalogo!$B$10:$D$209,3,0)),"")</f>
        <v/>
      </c>
      <c r="H95" s="6"/>
      <c r="I95" s="6" t="str">
        <f>IF(E95="","",SUMPRODUCT((E$9:E95=E95)*(C$9:C95&lt;&gt;"Salida")*H$9:H95)-SUMPRODUCT((E$9:E95=E95)*(C$9:C95="Salida")*H$9:H95))</f>
        <v/>
      </c>
    </row>
    <row r="96" spans="2:9" ht="16.5" customHeight="1" x14ac:dyDescent="0.25">
      <c r="B96" s="4"/>
      <c r="C96" s="4"/>
      <c r="D96" s="4"/>
      <c r="E96" s="4"/>
      <c r="F96" s="5" t="str">
        <f>IFERROR(IF(E96="","",VLOOKUP(E96,Catalogo!$B$10:$D$209,2,0)),"")</f>
        <v/>
      </c>
      <c r="G96" s="5" t="str">
        <f>IFERROR(IF(E96="","",VLOOKUP(E96,Catalogo!$B$10:$D$209,3,0)),"")</f>
        <v/>
      </c>
      <c r="H96" s="4"/>
      <c r="I96" s="4" t="str">
        <f>IF(E96="","",SUMPRODUCT((E$9:E96=E96)*(C$9:C96&lt;&gt;"Salida")*H$9:H96)-SUMPRODUCT((E$9:E96=E96)*(C$9:C96="Salida")*H$9:H96))</f>
        <v/>
      </c>
    </row>
    <row r="97" spans="2:9" ht="16.5" customHeight="1" x14ac:dyDescent="0.25">
      <c r="B97" s="6"/>
      <c r="C97" s="6"/>
      <c r="D97" s="6"/>
      <c r="E97" s="6"/>
      <c r="F97" s="7" t="str">
        <f>IFERROR(IF(E97="","",VLOOKUP(E97,Catalogo!$B$10:$D$209,2,0)),"")</f>
        <v/>
      </c>
      <c r="G97" s="7" t="str">
        <f>IFERROR(IF(E97="","",VLOOKUP(E97,Catalogo!$B$10:$D$209,3,0)),"")</f>
        <v/>
      </c>
      <c r="H97" s="6"/>
      <c r="I97" s="6" t="str">
        <f>IF(E97="","",SUMPRODUCT((E$9:E97=E97)*(C$9:C97&lt;&gt;"Salida")*H$9:H97)-SUMPRODUCT((E$9:E97=E97)*(C$9:C97="Salida")*H$9:H97))</f>
        <v/>
      </c>
    </row>
    <row r="98" spans="2:9" ht="16.5" customHeight="1" x14ac:dyDescent="0.25">
      <c r="B98" s="4"/>
      <c r="C98" s="4"/>
      <c r="D98" s="4"/>
      <c r="E98" s="4"/>
      <c r="F98" s="5" t="str">
        <f>IFERROR(IF(E98="","",VLOOKUP(E98,Catalogo!$B$10:$D$209,2,0)),"")</f>
        <v/>
      </c>
      <c r="G98" s="5" t="str">
        <f>IFERROR(IF(E98="","",VLOOKUP(E98,Catalogo!$B$10:$D$209,3,0)),"")</f>
        <v/>
      </c>
      <c r="H98" s="4"/>
      <c r="I98" s="4" t="str">
        <f>IF(E98="","",SUMPRODUCT((E$9:E98=E98)*(C$9:C98&lt;&gt;"Salida")*H$9:H98)-SUMPRODUCT((E$9:E98=E98)*(C$9:C98="Salida")*H$9:H98))</f>
        <v/>
      </c>
    </row>
    <row r="99" spans="2:9" ht="16.5" customHeight="1" x14ac:dyDescent="0.25">
      <c r="B99" s="6"/>
      <c r="C99" s="6"/>
      <c r="D99" s="6"/>
      <c r="E99" s="6"/>
      <c r="F99" s="7" t="str">
        <f>IFERROR(IF(E99="","",VLOOKUP(E99,Catalogo!$B$10:$D$209,2,0)),"")</f>
        <v/>
      </c>
      <c r="G99" s="7" t="str">
        <f>IFERROR(IF(E99="","",VLOOKUP(E99,Catalogo!$B$10:$D$209,3,0)),"")</f>
        <v/>
      </c>
      <c r="H99" s="6"/>
      <c r="I99" s="6" t="str">
        <f>IF(E99="","",SUMPRODUCT((E$9:E99=E99)*(C$9:C99&lt;&gt;"Salida")*H$9:H99)-SUMPRODUCT((E$9:E99=E99)*(C$9:C99="Salida")*H$9:H99))</f>
        <v/>
      </c>
    </row>
    <row r="100" spans="2:9" ht="16.5" customHeight="1" x14ac:dyDescent="0.25">
      <c r="B100" s="4"/>
      <c r="C100" s="4"/>
      <c r="D100" s="4"/>
      <c r="E100" s="4"/>
      <c r="F100" s="5" t="str">
        <f>IFERROR(IF(E100="","",VLOOKUP(E100,Catalogo!$B$10:$D$209,2,0)),"")</f>
        <v/>
      </c>
      <c r="G100" s="5" t="str">
        <f>IFERROR(IF(E100="","",VLOOKUP(E100,Catalogo!$B$10:$D$209,3,0)),"")</f>
        <v/>
      </c>
      <c r="H100" s="4"/>
      <c r="I100" s="4" t="str">
        <f>IF(E100="","",SUMPRODUCT((E$9:E100=E100)*(C$9:C100&lt;&gt;"Salida")*H$9:H100)-SUMPRODUCT((E$9:E100=E100)*(C$9:C100="Salida")*H$9:H100))</f>
        <v/>
      </c>
    </row>
    <row r="101" spans="2:9" ht="16.5" customHeight="1" x14ac:dyDescent="0.25">
      <c r="B101" s="6"/>
      <c r="C101" s="6"/>
      <c r="D101" s="6"/>
      <c r="E101" s="6"/>
      <c r="F101" s="7" t="str">
        <f>IFERROR(IF(E101="","",VLOOKUP(E101,Catalogo!$B$10:$D$209,2,0)),"")</f>
        <v/>
      </c>
      <c r="G101" s="7" t="str">
        <f>IFERROR(IF(E101="","",VLOOKUP(E101,Catalogo!$B$10:$D$209,3,0)),"")</f>
        <v/>
      </c>
      <c r="H101" s="6"/>
      <c r="I101" s="6" t="str">
        <f>IF(E101="","",SUMPRODUCT((E$9:E101=E101)*(C$9:C101&lt;&gt;"Salida")*H$9:H101)-SUMPRODUCT((E$9:E101=E101)*(C$9:C101="Salida")*H$9:H101))</f>
        <v/>
      </c>
    </row>
    <row r="102" spans="2:9" ht="16.5" customHeight="1" x14ac:dyDescent="0.25">
      <c r="B102" s="4"/>
      <c r="C102" s="4"/>
      <c r="D102" s="4"/>
      <c r="E102" s="4"/>
      <c r="F102" s="5" t="str">
        <f>IFERROR(IF(E102="","",VLOOKUP(E102,Catalogo!$B$10:$D$209,2,0)),"")</f>
        <v/>
      </c>
      <c r="G102" s="5" t="str">
        <f>IFERROR(IF(E102="","",VLOOKUP(E102,Catalogo!$B$10:$D$209,3,0)),"")</f>
        <v/>
      </c>
      <c r="H102" s="4"/>
      <c r="I102" s="4" t="str">
        <f>IF(E102="","",SUMPRODUCT((E$9:E102=E102)*(C$9:C102&lt;&gt;"Salida")*H$9:H102)-SUMPRODUCT((E$9:E102=E102)*(C$9:C102="Salida")*H$9:H102))</f>
        <v/>
      </c>
    </row>
    <row r="103" spans="2:9" ht="16.5" customHeight="1" x14ac:dyDescent="0.25">
      <c r="B103" s="6"/>
      <c r="C103" s="6"/>
      <c r="D103" s="6"/>
      <c r="E103" s="6"/>
      <c r="F103" s="7" t="str">
        <f>IFERROR(IF(E103="","",VLOOKUP(E103,Catalogo!$B$10:$D$209,2,0)),"")</f>
        <v/>
      </c>
      <c r="G103" s="7" t="str">
        <f>IFERROR(IF(E103="","",VLOOKUP(E103,Catalogo!$B$10:$D$209,3,0)),"")</f>
        <v/>
      </c>
      <c r="H103" s="6"/>
      <c r="I103" s="6" t="str">
        <f>IF(E103="","",SUMPRODUCT((E$9:E103=E103)*(C$9:C103&lt;&gt;"Salida")*H$9:H103)-SUMPRODUCT((E$9:E103=E103)*(C$9:C103="Salida")*H$9:H103))</f>
        <v/>
      </c>
    </row>
    <row r="104" spans="2:9" ht="16.5" customHeight="1" x14ac:dyDescent="0.25">
      <c r="B104" s="4"/>
      <c r="C104" s="4"/>
      <c r="D104" s="4"/>
      <c r="E104" s="4"/>
      <c r="F104" s="5" t="str">
        <f>IFERROR(IF(E104="","",VLOOKUP(E104,Catalogo!$B$10:$D$209,2,0)),"")</f>
        <v/>
      </c>
      <c r="G104" s="5" t="str">
        <f>IFERROR(IF(E104="","",VLOOKUP(E104,Catalogo!$B$10:$D$209,3,0)),"")</f>
        <v/>
      </c>
      <c r="H104" s="4"/>
      <c r="I104" s="4" t="str">
        <f>IF(E104="","",SUMPRODUCT((E$9:E104=E104)*(C$9:C104&lt;&gt;"Salida")*H$9:H104)-SUMPRODUCT((E$9:E104=E104)*(C$9:C104="Salida")*H$9:H104))</f>
        <v/>
      </c>
    </row>
    <row r="105" spans="2:9" ht="16.5" customHeight="1" x14ac:dyDescent="0.25">
      <c r="B105" s="6"/>
      <c r="C105" s="6"/>
      <c r="D105" s="6"/>
      <c r="E105" s="6"/>
      <c r="F105" s="7" t="str">
        <f>IFERROR(IF(E105="","",VLOOKUP(E105,Catalogo!$B$10:$D$209,2,0)),"")</f>
        <v/>
      </c>
      <c r="G105" s="7" t="str">
        <f>IFERROR(IF(E105="","",VLOOKUP(E105,Catalogo!$B$10:$D$209,3,0)),"")</f>
        <v/>
      </c>
      <c r="H105" s="6"/>
      <c r="I105" s="6" t="str">
        <f>IF(E105="","",SUMPRODUCT((E$9:E105=E105)*(C$9:C105&lt;&gt;"Salida")*H$9:H105)-SUMPRODUCT((E$9:E105=E105)*(C$9:C105="Salida")*H$9:H105))</f>
        <v/>
      </c>
    </row>
    <row r="106" spans="2:9" ht="16.5" customHeight="1" x14ac:dyDescent="0.25">
      <c r="B106" s="4"/>
      <c r="C106" s="4"/>
      <c r="D106" s="4"/>
      <c r="E106" s="4"/>
      <c r="F106" s="5" t="str">
        <f>IFERROR(IF(E106="","",VLOOKUP(E106,Catalogo!$B$10:$D$209,2,0)),"")</f>
        <v/>
      </c>
      <c r="G106" s="5" t="str">
        <f>IFERROR(IF(E106="","",VLOOKUP(E106,Catalogo!$B$10:$D$209,3,0)),"")</f>
        <v/>
      </c>
      <c r="H106" s="4"/>
      <c r="I106" s="4" t="str">
        <f>IF(E106="","",SUMPRODUCT((E$9:E106=E106)*(C$9:C106&lt;&gt;"Salida")*H$9:H106)-SUMPRODUCT((E$9:E106=E106)*(C$9:C106="Salida")*H$9:H106))</f>
        <v/>
      </c>
    </row>
    <row r="107" spans="2:9" ht="16.5" customHeight="1" x14ac:dyDescent="0.25">
      <c r="B107" s="6"/>
      <c r="C107" s="6"/>
      <c r="D107" s="6"/>
      <c r="E107" s="6"/>
      <c r="F107" s="7" t="str">
        <f>IFERROR(IF(E107="","",VLOOKUP(E107,Catalogo!$B$10:$D$209,2,0)),"")</f>
        <v/>
      </c>
      <c r="G107" s="7" t="str">
        <f>IFERROR(IF(E107="","",VLOOKUP(E107,Catalogo!$B$10:$D$209,3,0)),"")</f>
        <v/>
      </c>
      <c r="H107" s="6"/>
      <c r="I107" s="6" t="str">
        <f>IF(E107="","",SUMPRODUCT((E$9:E107=E107)*(C$9:C107&lt;&gt;"Salida")*H$9:H107)-SUMPRODUCT((E$9:E107=E107)*(C$9:C107="Salida")*H$9:H107))</f>
        <v/>
      </c>
    </row>
    <row r="108" spans="2:9" ht="16.5" customHeight="1" x14ac:dyDescent="0.25">
      <c r="B108" s="4"/>
      <c r="C108" s="4"/>
      <c r="D108" s="4"/>
      <c r="E108" s="4"/>
      <c r="F108" s="5" t="str">
        <f>IFERROR(IF(E108="","",VLOOKUP(E108,Catalogo!$B$10:$D$209,2,0)),"")</f>
        <v/>
      </c>
      <c r="G108" s="5" t="str">
        <f>IFERROR(IF(E108="","",VLOOKUP(E108,Catalogo!$B$10:$D$209,3,0)),"")</f>
        <v/>
      </c>
      <c r="H108" s="4"/>
      <c r="I108" s="4" t="str">
        <f>IF(E108="","",SUMPRODUCT((E$9:E108=E108)*(C$9:C108&lt;&gt;"Salida")*H$9:H108)-SUMPRODUCT((E$9:E108=E108)*(C$9:C108="Salida")*H$9:H108))</f>
        <v/>
      </c>
    </row>
    <row r="109" spans="2:9" ht="16.5" customHeight="1" x14ac:dyDescent="0.25">
      <c r="B109" s="6"/>
      <c r="C109" s="6"/>
      <c r="D109" s="6"/>
      <c r="E109" s="6"/>
      <c r="F109" s="7" t="str">
        <f>IFERROR(IF(E109="","",VLOOKUP(E109,Catalogo!$B$10:$D$209,2,0)),"")</f>
        <v/>
      </c>
      <c r="G109" s="7" t="str">
        <f>IFERROR(IF(E109="","",VLOOKUP(E109,Catalogo!$B$10:$D$209,3,0)),"")</f>
        <v/>
      </c>
      <c r="H109" s="6"/>
      <c r="I109" s="6" t="str">
        <f>IF(E109="","",SUMPRODUCT((E$9:E109=E109)*(C$9:C109&lt;&gt;"Salida")*H$9:H109)-SUMPRODUCT((E$9:E109=E109)*(C$9:C109="Salida")*H$9:H109))</f>
        <v/>
      </c>
    </row>
    <row r="110" spans="2:9" ht="16.5" customHeight="1" x14ac:dyDescent="0.25">
      <c r="B110" s="4"/>
      <c r="C110" s="4"/>
      <c r="D110" s="4"/>
      <c r="E110" s="4"/>
      <c r="F110" s="5" t="str">
        <f>IFERROR(IF(E110="","",VLOOKUP(E110,Catalogo!$B$10:$D$209,2,0)),"")</f>
        <v/>
      </c>
      <c r="G110" s="5" t="str">
        <f>IFERROR(IF(E110="","",VLOOKUP(E110,Catalogo!$B$10:$D$209,3,0)),"")</f>
        <v/>
      </c>
      <c r="H110" s="4"/>
      <c r="I110" s="4" t="str">
        <f>IF(E110="","",SUMPRODUCT((E$9:E110=E110)*(C$9:C110&lt;&gt;"Salida")*H$9:H110)-SUMPRODUCT((E$9:E110=E110)*(C$9:C110="Salida")*H$9:H110))</f>
        <v/>
      </c>
    </row>
    <row r="111" spans="2:9" ht="16.5" customHeight="1" x14ac:dyDescent="0.25">
      <c r="B111" s="6"/>
      <c r="C111" s="6"/>
      <c r="D111" s="6"/>
      <c r="E111" s="6"/>
      <c r="F111" s="7" t="str">
        <f>IFERROR(IF(E111="","",VLOOKUP(E111,Catalogo!$B$10:$D$209,2,0)),"")</f>
        <v/>
      </c>
      <c r="G111" s="7" t="str">
        <f>IFERROR(IF(E111="","",VLOOKUP(E111,Catalogo!$B$10:$D$209,3,0)),"")</f>
        <v/>
      </c>
      <c r="H111" s="6"/>
      <c r="I111" s="6" t="str">
        <f>IF(E111="","",SUMPRODUCT((E$9:E111=E111)*(C$9:C111&lt;&gt;"Salida")*H$9:H111)-SUMPRODUCT((E$9:E111=E111)*(C$9:C111="Salida")*H$9:H111))</f>
        <v/>
      </c>
    </row>
    <row r="112" spans="2:9" ht="16.5" customHeight="1" x14ac:dyDescent="0.25">
      <c r="B112" s="4"/>
      <c r="C112" s="4"/>
      <c r="D112" s="4"/>
      <c r="E112" s="4"/>
      <c r="F112" s="5" t="str">
        <f>IFERROR(IF(E112="","",VLOOKUP(E112,Catalogo!$B$10:$D$209,2,0)),"")</f>
        <v/>
      </c>
      <c r="G112" s="5" t="str">
        <f>IFERROR(IF(E112="","",VLOOKUP(E112,Catalogo!$B$10:$D$209,3,0)),"")</f>
        <v/>
      </c>
      <c r="H112" s="4"/>
      <c r="I112" s="4" t="str">
        <f>IF(E112="","",SUMPRODUCT((E$9:E112=E112)*(C$9:C112&lt;&gt;"Salida")*H$9:H112)-SUMPRODUCT((E$9:E112=E112)*(C$9:C112="Salida")*H$9:H112))</f>
        <v/>
      </c>
    </row>
    <row r="113" spans="2:9" ht="16.5" customHeight="1" x14ac:dyDescent="0.25">
      <c r="B113" s="6"/>
      <c r="C113" s="6"/>
      <c r="D113" s="6"/>
      <c r="E113" s="6"/>
      <c r="F113" s="7" t="str">
        <f>IFERROR(IF(E113="","",VLOOKUP(E113,Catalogo!$B$10:$D$209,2,0)),"")</f>
        <v/>
      </c>
      <c r="G113" s="7" t="str">
        <f>IFERROR(IF(E113="","",VLOOKUP(E113,Catalogo!$B$10:$D$209,3,0)),"")</f>
        <v/>
      </c>
      <c r="H113" s="6"/>
      <c r="I113" s="6" t="str">
        <f>IF(E113="","",SUMPRODUCT((E$9:E113=E113)*(C$9:C113&lt;&gt;"Salida")*H$9:H113)-SUMPRODUCT((E$9:E113=E113)*(C$9:C113="Salida")*H$9:H113))</f>
        <v/>
      </c>
    </row>
    <row r="114" spans="2:9" ht="16.5" customHeight="1" x14ac:dyDescent="0.25">
      <c r="B114" s="4"/>
      <c r="C114" s="4"/>
      <c r="D114" s="4"/>
      <c r="E114" s="4"/>
      <c r="F114" s="5" t="str">
        <f>IFERROR(IF(E114="","",VLOOKUP(E114,Catalogo!$B$10:$D$209,2,0)),"")</f>
        <v/>
      </c>
      <c r="G114" s="5" t="str">
        <f>IFERROR(IF(E114="","",VLOOKUP(E114,Catalogo!$B$10:$D$209,3,0)),"")</f>
        <v/>
      </c>
      <c r="H114" s="4"/>
      <c r="I114" s="4" t="str">
        <f>IF(E114="","",SUMPRODUCT((E$9:E114=E114)*(C$9:C114&lt;&gt;"Salida")*H$9:H114)-SUMPRODUCT((E$9:E114=E114)*(C$9:C114="Salida")*H$9:H114))</f>
        <v/>
      </c>
    </row>
    <row r="115" spans="2:9" ht="16.5" customHeight="1" x14ac:dyDescent="0.25">
      <c r="B115" s="6"/>
      <c r="C115" s="6"/>
      <c r="D115" s="6"/>
      <c r="E115" s="6"/>
      <c r="F115" s="7" t="str">
        <f>IFERROR(IF(E115="","",VLOOKUP(E115,Catalogo!$B$10:$D$209,2,0)),"")</f>
        <v/>
      </c>
      <c r="G115" s="7" t="str">
        <f>IFERROR(IF(E115="","",VLOOKUP(E115,Catalogo!$B$10:$D$209,3,0)),"")</f>
        <v/>
      </c>
      <c r="H115" s="6"/>
      <c r="I115" s="6" t="str">
        <f>IF(E115="","",SUMPRODUCT((E$9:E115=E115)*(C$9:C115&lt;&gt;"Salida")*H$9:H115)-SUMPRODUCT((E$9:E115=E115)*(C$9:C115="Salida")*H$9:H115))</f>
        <v/>
      </c>
    </row>
    <row r="116" spans="2:9" ht="16.5" customHeight="1" x14ac:dyDescent="0.25">
      <c r="B116" s="4"/>
      <c r="C116" s="4"/>
      <c r="D116" s="4"/>
      <c r="E116" s="4"/>
      <c r="F116" s="5" t="str">
        <f>IFERROR(IF(E116="","",VLOOKUP(E116,Catalogo!$B$10:$D$209,2,0)),"")</f>
        <v/>
      </c>
      <c r="G116" s="5" t="str">
        <f>IFERROR(IF(E116="","",VLOOKUP(E116,Catalogo!$B$10:$D$209,3,0)),"")</f>
        <v/>
      </c>
      <c r="H116" s="4"/>
      <c r="I116" s="4" t="str">
        <f>IF(E116="","",SUMPRODUCT((E$9:E116=E116)*(C$9:C116&lt;&gt;"Salida")*H$9:H116)-SUMPRODUCT((E$9:E116=E116)*(C$9:C116="Salida")*H$9:H116))</f>
        <v/>
      </c>
    </row>
    <row r="117" spans="2:9" ht="16.5" customHeight="1" x14ac:dyDescent="0.25">
      <c r="B117" s="6"/>
      <c r="C117" s="6"/>
      <c r="D117" s="6"/>
      <c r="E117" s="6"/>
      <c r="F117" s="7" t="str">
        <f>IFERROR(IF(E117="","",VLOOKUP(E117,Catalogo!$B$10:$D$209,2,0)),"")</f>
        <v/>
      </c>
      <c r="G117" s="7" t="str">
        <f>IFERROR(IF(E117="","",VLOOKUP(E117,Catalogo!$B$10:$D$209,3,0)),"")</f>
        <v/>
      </c>
      <c r="H117" s="6"/>
      <c r="I117" s="6" t="str">
        <f>IF(E117="","",SUMPRODUCT((E$9:E117=E117)*(C$9:C117&lt;&gt;"Salida")*H$9:H117)-SUMPRODUCT((E$9:E117=E117)*(C$9:C117="Salida")*H$9:H117))</f>
        <v/>
      </c>
    </row>
    <row r="118" spans="2:9" ht="16.5" customHeight="1" x14ac:dyDescent="0.25">
      <c r="B118" s="4"/>
      <c r="C118" s="4"/>
      <c r="D118" s="4"/>
      <c r="E118" s="4"/>
      <c r="F118" s="5" t="str">
        <f>IFERROR(IF(E118="","",VLOOKUP(E118,Catalogo!$B$10:$D$209,2,0)),"")</f>
        <v/>
      </c>
      <c r="G118" s="5" t="str">
        <f>IFERROR(IF(E118="","",VLOOKUP(E118,Catalogo!$B$10:$D$209,3,0)),"")</f>
        <v/>
      </c>
      <c r="H118" s="4"/>
      <c r="I118" s="4" t="str">
        <f>IF(E118="","",SUMPRODUCT((E$9:E118=E118)*(C$9:C118&lt;&gt;"Salida")*H$9:H118)-SUMPRODUCT((E$9:E118=E118)*(C$9:C118="Salida")*H$9:H118))</f>
        <v/>
      </c>
    </row>
    <row r="119" spans="2:9" ht="16.5" customHeight="1" x14ac:dyDescent="0.25">
      <c r="B119" s="6"/>
      <c r="C119" s="6"/>
      <c r="D119" s="6"/>
      <c r="E119" s="6"/>
      <c r="F119" s="7" t="str">
        <f>IFERROR(IF(E119="","",VLOOKUP(E119,Catalogo!$B$10:$D$209,2,0)),"")</f>
        <v/>
      </c>
      <c r="G119" s="7" t="str">
        <f>IFERROR(IF(E119="","",VLOOKUP(E119,Catalogo!$B$10:$D$209,3,0)),"")</f>
        <v/>
      </c>
      <c r="H119" s="6"/>
      <c r="I119" s="6" t="str">
        <f>IF(E119="","",SUMPRODUCT((E$9:E119=E119)*(C$9:C119&lt;&gt;"Salida")*H$9:H119)-SUMPRODUCT((E$9:E119=E119)*(C$9:C119="Salida")*H$9:H119))</f>
        <v/>
      </c>
    </row>
    <row r="120" spans="2:9" ht="16.5" customHeight="1" x14ac:dyDescent="0.25">
      <c r="B120" s="4"/>
      <c r="C120" s="4"/>
      <c r="D120" s="4"/>
      <c r="E120" s="4"/>
      <c r="F120" s="5" t="str">
        <f>IFERROR(IF(E120="","",VLOOKUP(E120,Catalogo!$B$10:$D$209,2,0)),"")</f>
        <v/>
      </c>
      <c r="G120" s="5" t="str">
        <f>IFERROR(IF(E120="","",VLOOKUP(E120,Catalogo!$B$10:$D$209,3,0)),"")</f>
        <v/>
      </c>
      <c r="H120" s="4"/>
      <c r="I120" s="4" t="str">
        <f>IF(E120="","",SUMPRODUCT((E$9:E120=E120)*(C$9:C120&lt;&gt;"Salida")*H$9:H120)-SUMPRODUCT((E$9:E120=E120)*(C$9:C120="Salida")*H$9:H120))</f>
        <v/>
      </c>
    </row>
    <row r="121" spans="2:9" ht="16.5" customHeight="1" x14ac:dyDescent="0.25">
      <c r="B121" s="6"/>
      <c r="C121" s="6"/>
      <c r="D121" s="6"/>
      <c r="E121" s="6"/>
      <c r="F121" s="7" t="str">
        <f>IFERROR(IF(E121="","",VLOOKUP(E121,Catalogo!$B$10:$D$209,2,0)),"")</f>
        <v/>
      </c>
      <c r="G121" s="7" t="str">
        <f>IFERROR(IF(E121="","",VLOOKUP(E121,Catalogo!$B$10:$D$209,3,0)),"")</f>
        <v/>
      </c>
      <c r="H121" s="6"/>
      <c r="I121" s="6" t="str">
        <f>IF(E121="","",SUMPRODUCT((E$9:E121=E121)*(C$9:C121&lt;&gt;"Salida")*H$9:H121)-SUMPRODUCT((E$9:E121=E121)*(C$9:C121="Salida")*H$9:H121))</f>
        <v/>
      </c>
    </row>
    <row r="122" spans="2:9" ht="16.5" customHeight="1" x14ac:dyDescent="0.25">
      <c r="B122" s="4"/>
      <c r="C122" s="4"/>
      <c r="D122" s="4"/>
      <c r="E122" s="4"/>
      <c r="F122" s="5" t="str">
        <f>IFERROR(IF(E122="","",VLOOKUP(E122,Catalogo!$B$10:$D$209,2,0)),"")</f>
        <v/>
      </c>
      <c r="G122" s="5" t="str">
        <f>IFERROR(IF(E122="","",VLOOKUP(E122,Catalogo!$B$10:$D$209,3,0)),"")</f>
        <v/>
      </c>
      <c r="H122" s="4"/>
      <c r="I122" s="4" t="str">
        <f>IF(E122="","",SUMPRODUCT((E$9:E122=E122)*(C$9:C122&lt;&gt;"Salida")*H$9:H122)-SUMPRODUCT((E$9:E122=E122)*(C$9:C122="Salida")*H$9:H122))</f>
        <v/>
      </c>
    </row>
    <row r="123" spans="2:9" ht="16.5" customHeight="1" x14ac:dyDescent="0.25">
      <c r="B123" s="6"/>
      <c r="C123" s="6"/>
      <c r="D123" s="6"/>
      <c r="E123" s="6"/>
      <c r="F123" s="7" t="str">
        <f>IFERROR(IF(E123="","",VLOOKUP(E123,Catalogo!$B$10:$D$209,2,0)),"")</f>
        <v/>
      </c>
      <c r="G123" s="7" t="str">
        <f>IFERROR(IF(E123="","",VLOOKUP(E123,Catalogo!$B$10:$D$209,3,0)),"")</f>
        <v/>
      </c>
      <c r="H123" s="6"/>
      <c r="I123" s="6" t="str">
        <f>IF(E123="","",SUMPRODUCT((E$9:E123=E123)*(C$9:C123&lt;&gt;"Salida")*H$9:H123)-SUMPRODUCT((E$9:E123=E123)*(C$9:C123="Salida")*H$9:H123))</f>
        <v/>
      </c>
    </row>
    <row r="124" spans="2:9" ht="16.5" customHeight="1" x14ac:dyDescent="0.25">
      <c r="B124" s="4"/>
      <c r="C124" s="4"/>
      <c r="D124" s="4"/>
      <c r="E124" s="4"/>
      <c r="F124" s="5" t="str">
        <f>IFERROR(IF(E124="","",VLOOKUP(E124,Catalogo!$B$10:$D$209,2,0)),"")</f>
        <v/>
      </c>
      <c r="G124" s="5" t="str">
        <f>IFERROR(IF(E124="","",VLOOKUP(E124,Catalogo!$B$10:$D$209,3,0)),"")</f>
        <v/>
      </c>
      <c r="H124" s="4"/>
      <c r="I124" s="4" t="str">
        <f>IF(E124="","",SUMPRODUCT((E$9:E124=E124)*(C$9:C124&lt;&gt;"Salida")*H$9:H124)-SUMPRODUCT((E$9:E124=E124)*(C$9:C124="Salida")*H$9:H124))</f>
        <v/>
      </c>
    </row>
    <row r="125" spans="2:9" ht="16.5" customHeight="1" x14ac:dyDescent="0.25">
      <c r="B125" s="6"/>
      <c r="C125" s="6"/>
      <c r="D125" s="6"/>
      <c r="E125" s="6"/>
      <c r="F125" s="7" t="str">
        <f>IFERROR(IF(E125="","",VLOOKUP(E125,Catalogo!$B$10:$D$209,2,0)),"")</f>
        <v/>
      </c>
      <c r="G125" s="7" t="str">
        <f>IFERROR(IF(E125="","",VLOOKUP(E125,Catalogo!$B$10:$D$209,3,0)),"")</f>
        <v/>
      </c>
      <c r="H125" s="6"/>
      <c r="I125" s="6" t="str">
        <f>IF(E125="","",SUMPRODUCT((E$9:E125=E125)*(C$9:C125&lt;&gt;"Salida")*H$9:H125)-SUMPRODUCT((E$9:E125=E125)*(C$9:C125="Salida")*H$9:H125))</f>
        <v/>
      </c>
    </row>
    <row r="126" spans="2:9" ht="16.5" customHeight="1" x14ac:dyDescent="0.25">
      <c r="B126" s="4"/>
      <c r="C126" s="4"/>
      <c r="D126" s="4"/>
      <c r="E126" s="4"/>
      <c r="F126" s="5" t="str">
        <f>IFERROR(IF(E126="","",VLOOKUP(E126,Catalogo!$B$10:$D$209,2,0)),"")</f>
        <v/>
      </c>
      <c r="G126" s="5" t="str">
        <f>IFERROR(IF(E126="","",VLOOKUP(E126,Catalogo!$B$10:$D$209,3,0)),"")</f>
        <v/>
      </c>
      <c r="H126" s="4"/>
      <c r="I126" s="4" t="str">
        <f>IF(E126="","",SUMPRODUCT((E$9:E126=E126)*(C$9:C126&lt;&gt;"Salida")*H$9:H126)-SUMPRODUCT((E$9:E126=E126)*(C$9:C126="Salida")*H$9:H126))</f>
        <v/>
      </c>
    </row>
    <row r="127" spans="2:9" ht="16.5" customHeight="1" x14ac:dyDescent="0.25">
      <c r="B127" s="6"/>
      <c r="C127" s="6"/>
      <c r="D127" s="6"/>
      <c r="E127" s="6"/>
      <c r="F127" s="7" t="str">
        <f>IFERROR(IF(E127="","",VLOOKUP(E127,Catalogo!$B$10:$D$209,2,0)),"")</f>
        <v/>
      </c>
      <c r="G127" s="7" t="str">
        <f>IFERROR(IF(E127="","",VLOOKUP(E127,Catalogo!$B$10:$D$209,3,0)),"")</f>
        <v/>
      </c>
      <c r="H127" s="6"/>
      <c r="I127" s="6" t="str">
        <f>IF(E127="","",SUMPRODUCT((E$9:E127=E127)*(C$9:C127&lt;&gt;"Salida")*H$9:H127)-SUMPRODUCT((E$9:E127=E127)*(C$9:C127="Salida")*H$9:H127))</f>
        <v/>
      </c>
    </row>
    <row r="128" spans="2:9" ht="16.5" customHeight="1" x14ac:dyDescent="0.25">
      <c r="B128" s="4"/>
      <c r="C128" s="4"/>
      <c r="D128" s="4"/>
      <c r="E128" s="4"/>
      <c r="F128" s="5" t="str">
        <f>IFERROR(IF(E128="","",VLOOKUP(E128,Catalogo!$B$10:$D$209,2,0)),"")</f>
        <v/>
      </c>
      <c r="G128" s="5" t="str">
        <f>IFERROR(IF(E128="","",VLOOKUP(E128,Catalogo!$B$10:$D$209,3,0)),"")</f>
        <v/>
      </c>
      <c r="H128" s="4"/>
      <c r="I128" s="4" t="str">
        <f>IF(E128="","",SUMPRODUCT((E$9:E128=E128)*(C$9:C128&lt;&gt;"Salida")*H$9:H128)-SUMPRODUCT((E$9:E128=E128)*(C$9:C128="Salida")*H$9:H128))</f>
        <v/>
      </c>
    </row>
    <row r="129" spans="2:9" ht="16.5" customHeight="1" x14ac:dyDescent="0.25">
      <c r="B129" s="6"/>
      <c r="C129" s="6"/>
      <c r="D129" s="6"/>
      <c r="E129" s="6"/>
      <c r="F129" s="7" t="str">
        <f>IFERROR(IF(E129="","",VLOOKUP(E129,Catalogo!$B$10:$D$209,2,0)),"")</f>
        <v/>
      </c>
      <c r="G129" s="7" t="str">
        <f>IFERROR(IF(E129="","",VLOOKUP(E129,Catalogo!$B$10:$D$209,3,0)),"")</f>
        <v/>
      </c>
      <c r="H129" s="6"/>
      <c r="I129" s="6" t="str">
        <f>IF(E129="","",SUMPRODUCT((E$9:E129=E129)*(C$9:C129&lt;&gt;"Salida")*H$9:H129)-SUMPRODUCT((E$9:E129=E129)*(C$9:C129="Salida")*H$9:H129))</f>
        <v/>
      </c>
    </row>
    <row r="130" spans="2:9" ht="16.5" customHeight="1" x14ac:dyDescent="0.25">
      <c r="B130" s="4"/>
      <c r="C130" s="4"/>
      <c r="D130" s="4"/>
      <c r="E130" s="4"/>
      <c r="F130" s="5" t="str">
        <f>IFERROR(IF(E130="","",VLOOKUP(E130,Catalogo!$B$10:$D$209,2,0)),"")</f>
        <v/>
      </c>
      <c r="G130" s="5" t="str">
        <f>IFERROR(IF(E130="","",VLOOKUP(E130,Catalogo!$B$10:$D$209,3,0)),"")</f>
        <v/>
      </c>
      <c r="H130" s="4"/>
      <c r="I130" s="4" t="str">
        <f>IF(E130="","",SUMPRODUCT((E$9:E130=E130)*(C$9:C130&lt;&gt;"Salida")*H$9:H130)-SUMPRODUCT((E$9:E130=E130)*(C$9:C130="Salida")*H$9:H130))</f>
        <v/>
      </c>
    </row>
    <row r="131" spans="2:9" ht="16.5" customHeight="1" x14ac:dyDescent="0.25">
      <c r="B131" s="6"/>
      <c r="C131" s="6"/>
      <c r="D131" s="6"/>
      <c r="E131" s="6"/>
      <c r="F131" s="7" t="str">
        <f>IFERROR(IF(E131="","",VLOOKUP(E131,Catalogo!$B$10:$D$209,2,0)),"")</f>
        <v/>
      </c>
      <c r="G131" s="7" t="str">
        <f>IFERROR(IF(E131="","",VLOOKUP(E131,Catalogo!$B$10:$D$209,3,0)),"")</f>
        <v/>
      </c>
      <c r="H131" s="6"/>
      <c r="I131" s="6" t="str">
        <f>IF(E131="","",SUMPRODUCT((E$9:E131=E131)*(C$9:C131&lt;&gt;"Salida")*H$9:H131)-SUMPRODUCT((E$9:E131=E131)*(C$9:C131="Salida")*H$9:H131))</f>
        <v/>
      </c>
    </row>
    <row r="132" spans="2:9" ht="16.5" customHeight="1" x14ac:dyDescent="0.25">
      <c r="B132" s="4"/>
      <c r="C132" s="4"/>
      <c r="D132" s="4"/>
      <c r="E132" s="4"/>
      <c r="F132" s="5" t="str">
        <f>IFERROR(IF(E132="","",VLOOKUP(E132,Catalogo!$B$10:$D$209,2,0)),"")</f>
        <v/>
      </c>
      <c r="G132" s="5" t="str">
        <f>IFERROR(IF(E132="","",VLOOKUP(E132,Catalogo!$B$10:$D$209,3,0)),"")</f>
        <v/>
      </c>
      <c r="H132" s="4"/>
      <c r="I132" s="4" t="str">
        <f>IF(E132="","",SUMPRODUCT((E$9:E132=E132)*(C$9:C132&lt;&gt;"Salida")*H$9:H132)-SUMPRODUCT((E$9:E132=E132)*(C$9:C132="Salida")*H$9:H132))</f>
        <v/>
      </c>
    </row>
    <row r="133" spans="2:9" ht="16.5" customHeight="1" x14ac:dyDescent="0.25">
      <c r="B133" s="6"/>
      <c r="C133" s="6"/>
      <c r="D133" s="6"/>
      <c r="E133" s="6"/>
      <c r="F133" s="7" t="str">
        <f>IFERROR(IF(E133="","",VLOOKUP(E133,Catalogo!$B$10:$D$209,2,0)),"")</f>
        <v/>
      </c>
      <c r="G133" s="7" t="str">
        <f>IFERROR(IF(E133="","",VLOOKUP(E133,Catalogo!$B$10:$D$209,3,0)),"")</f>
        <v/>
      </c>
      <c r="H133" s="6"/>
      <c r="I133" s="6" t="str">
        <f>IF(E133="","",SUMPRODUCT((E$9:E133=E133)*(C$9:C133&lt;&gt;"Salida")*H$9:H133)-SUMPRODUCT((E$9:E133=E133)*(C$9:C133="Salida")*H$9:H133))</f>
        <v/>
      </c>
    </row>
    <row r="134" spans="2:9" ht="16.5" customHeight="1" x14ac:dyDescent="0.25">
      <c r="B134" s="4"/>
      <c r="C134" s="4"/>
      <c r="D134" s="4"/>
      <c r="E134" s="4"/>
      <c r="F134" s="5" t="str">
        <f>IFERROR(IF(E134="","",VLOOKUP(E134,Catalogo!$B$10:$D$209,2,0)),"")</f>
        <v/>
      </c>
      <c r="G134" s="5" t="str">
        <f>IFERROR(IF(E134="","",VLOOKUP(E134,Catalogo!$B$10:$D$209,3,0)),"")</f>
        <v/>
      </c>
      <c r="H134" s="4"/>
      <c r="I134" s="4" t="str">
        <f>IF(E134="","",SUMPRODUCT((E$9:E134=E134)*(C$9:C134&lt;&gt;"Salida")*H$9:H134)-SUMPRODUCT((E$9:E134=E134)*(C$9:C134="Salida")*H$9:H134))</f>
        <v/>
      </c>
    </row>
    <row r="135" spans="2:9" ht="16.5" customHeight="1" x14ac:dyDescent="0.25">
      <c r="B135" s="6"/>
      <c r="C135" s="6"/>
      <c r="D135" s="6"/>
      <c r="E135" s="6"/>
      <c r="F135" s="7" t="str">
        <f>IFERROR(IF(E135="","",VLOOKUP(E135,Catalogo!$B$10:$D$209,2,0)),"")</f>
        <v/>
      </c>
      <c r="G135" s="7" t="str">
        <f>IFERROR(IF(E135="","",VLOOKUP(E135,Catalogo!$B$10:$D$209,3,0)),"")</f>
        <v/>
      </c>
      <c r="H135" s="6"/>
      <c r="I135" s="6" t="str">
        <f>IF(E135="","",SUMPRODUCT((E$9:E135=E135)*(C$9:C135&lt;&gt;"Salida")*H$9:H135)-SUMPRODUCT((E$9:E135=E135)*(C$9:C135="Salida")*H$9:H135))</f>
        <v/>
      </c>
    </row>
    <row r="136" spans="2:9" ht="16.5" customHeight="1" x14ac:dyDescent="0.25">
      <c r="B136" s="4"/>
      <c r="C136" s="4"/>
      <c r="D136" s="4"/>
      <c r="E136" s="4"/>
      <c r="F136" s="5" t="str">
        <f>IFERROR(IF(E136="","",VLOOKUP(E136,Catalogo!$B$10:$D$209,2,0)),"")</f>
        <v/>
      </c>
      <c r="G136" s="5" t="str">
        <f>IFERROR(IF(E136="","",VLOOKUP(E136,Catalogo!$B$10:$D$209,3,0)),"")</f>
        <v/>
      </c>
      <c r="H136" s="4"/>
      <c r="I136" s="4" t="str">
        <f>IF(E136="","",SUMPRODUCT((E$9:E136=E136)*(C$9:C136&lt;&gt;"Salida")*H$9:H136)-SUMPRODUCT((E$9:E136=E136)*(C$9:C136="Salida")*H$9:H136))</f>
        <v/>
      </c>
    </row>
    <row r="137" spans="2:9" ht="16.5" customHeight="1" x14ac:dyDescent="0.25">
      <c r="B137" s="6"/>
      <c r="C137" s="6"/>
      <c r="D137" s="6"/>
      <c r="E137" s="6"/>
      <c r="F137" s="7" t="str">
        <f>IFERROR(IF(E137="","",VLOOKUP(E137,Catalogo!$B$10:$D$209,2,0)),"")</f>
        <v/>
      </c>
      <c r="G137" s="7" t="str">
        <f>IFERROR(IF(E137="","",VLOOKUP(E137,Catalogo!$B$10:$D$209,3,0)),"")</f>
        <v/>
      </c>
      <c r="H137" s="6"/>
      <c r="I137" s="6" t="str">
        <f>IF(E137="","",SUMPRODUCT((E$9:E137=E137)*(C$9:C137&lt;&gt;"Salida")*H$9:H137)-SUMPRODUCT((E$9:E137=E137)*(C$9:C137="Salida")*H$9:H137))</f>
        <v/>
      </c>
    </row>
    <row r="138" spans="2:9" ht="16.5" customHeight="1" x14ac:dyDescent="0.25">
      <c r="B138" s="4"/>
      <c r="C138" s="4"/>
      <c r="D138" s="4"/>
      <c r="E138" s="4"/>
      <c r="F138" s="5" t="str">
        <f>IFERROR(IF(E138="","",VLOOKUP(E138,Catalogo!$B$10:$D$209,2,0)),"")</f>
        <v/>
      </c>
      <c r="G138" s="5" t="str">
        <f>IFERROR(IF(E138="","",VLOOKUP(E138,Catalogo!$B$10:$D$209,3,0)),"")</f>
        <v/>
      </c>
      <c r="H138" s="4"/>
      <c r="I138" s="4" t="str">
        <f>IF(E138="","",SUMPRODUCT((E$9:E138=E138)*(C$9:C138&lt;&gt;"Salida")*H$9:H138)-SUMPRODUCT((E$9:E138=E138)*(C$9:C138="Salida")*H$9:H138))</f>
        <v/>
      </c>
    </row>
    <row r="139" spans="2:9" ht="16.5" customHeight="1" x14ac:dyDescent="0.25">
      <c r="B139" s="6"/>
      <c r="C139" s="6"/>
      <c r="D139" s="6"/>
      <c r="E139" s="6"/>
      <c r="F139" s="7" t="str">
        <f>IFERROR(IF(E139="","",VLOOKUP(E139,Catalogo!$B$10:$D$209,2,0)),"")</f>
        <v/>
      </c>
      <c r="G139" s="7" t="str">
        <f>IFERROR(IF(E139="","",VLOOKUP(E139,Catalogo!$B$10:$D$209,3,0)),"")</f>
        <v/>
      </c>
      <c r="H139" s="6"/>
      <c r="I139" s="6" t="str">
        <f>IF(E139="","",SUMPRODUCT((E$9:E139=E139)*(C$9:C139&lt;&gt;"Salida")*H$9:H139)-SUMPRODUCT((E$9:E139=E139)*(C$9:C139="Salida")*H$9:H139))</f>
        <v/>
      </c>
    </row>
    <row r="140" spans="2:9" ht="16.5" customHeight="1" x14ac:dyDescent="0.25">
      <c r="B140" s="4"/>
      <c r="C140" s="4"/>
      <c r="D140" s="4"/>
      <c r="E140" s="4"/>
      <c r="F140" s="5" t="str">
        <f>IFERROR(IF(E140="","",VLOOKUP(E140,Catalogo!$B$10:$D$209,2,0)),"")</f>
        <v/>
      </c>
      <c r="G140" s="5" t="str">
        <f>IFERROR(IF(E140="","",VLOOKUP(E140,Catalogo!$B$10:$D$209,3,0)),"")</f>
        <v/>
      </c>
      <c r="H140" s="4"/>
      <c r="I140" s="4" t="str">
        <f>IF(E140="","",SUMPRODUCT((E$9:E140=E140)*(C$9:C140&lt;&gt;"Salida")*H$9:H140)-SUMPRODUCT((E$9:E140=E140)*(C$9:C140="Salida")*H$9:H140))</f>
        <v/>
      </c>
    </row>
    <row r="141" spans="2:9" ht="16.5" customHeight="1" x14ac:dyDescent="0.25">
      <c r="B141" s="6"/>
      <c r="C141" s="6"/>
      <c r="D141" s="6"/>
      <c r="E141" s="6"/>
      <c r="F141" s="7" t="str">
        <f>IFERROR(IF(E141="","",VLOOKUP(E141,Catalogo!$B$10:$D$209,2,0)),"")</f>
        <v/>
      </c>
      <c r="G141" s="7" t="str">
        <f>IFERROR(IF(E141="","",VLOOKUP(E141,Catalogo!$B$10:$D$209,3,0)),"")</f>
        <v/>
      </c>
      <c r="H141" s="6"/>
      <c r="I141" s="6" t="str">
        <f>IF(E141="","",SUMPRODUCT((E$9:E141=E141)*(C$9:C141&lt;&gt;"Salida")*H$9:H141)-SUMPRODUCT((E$9:E141=E141)*(C$9:C141="Salida")*H$9:H141))</f>
        <v/>
      </c>
    </row>
    <row r="142" spans="2:9" ht="16.5" customHeight="1" x14ac:dyDescent="0.25">
      <c r="B142" s="4"/>
      <c r="C142" s="4"/>
      <c r="D142" s="4"/>
      <c r="E142" s="4"/>
      <c r="F142" s="5" t="str">
        <f>IFERROR(IF(E142="","",VLOOKUP(E142,Catalogo!$B$10:$D$209,2,0)),"")</f>
        <v/>
      </c>
      <c r="G142" s="5" t="str">
        <f>IFERROR(IF(E142="","",VLOOKUP(E142,Catalogo!$B$10:$D$209,3,0)),"")</f>
        <v/>
      </c>
      <c r="H142" s="4"/>
      <c r="I142" s="4" t="str">
        <f>IF(E142="","",SUMPRODUCT((E$9:E142=E142)*(C$9:C142&lt;&gt;"Salida")*H$9:H142)-SUMPRODUCT((E$9:E142=E142)*(C$9:C142="Salida")*H$9:H142))</f>
        <v/>
      </c>
    </row>
    <row r="143" spans="2:9" ht="16.5" customHeight="1" x14ac:dyDescent="0.25">
      <c r="B143" s="6"/>
      <c r="C143" s="6"/>
      <c r="D143" s="6"/>
      <c r="E143" s="6"/>
      <c r="F143" s="7" t="str">
        <f>IFERROR(IF(E143="","",VLOOKUP(E143,Catalogo!$B$10:$D$209,2,0)),"")</f>
        <v/>
      </c>
      <c r="G143" s="7" t="str">
        <f>IFERROR(IF(E143="","",VLOOKUP(E143,Catalogo!$B$10:$D$209,3,0)),"")</f>
        <v/>
      </c>
      <c r="H143" s="6"/>
      <c r="I143" s="6" t="str">
        <f>IF(E143="","",SUMPRODUCT((E$9:E143=E143)*(C$9:C143&lt;&gt;"Salida")*H$9:H143)-SUMPRODUCT((E$9:E143=E143)*(C$9:C143="Salida")*H$9:H143))</f>
        <v/>
      </c>
    </row>
    <row r="144" spans="2:9" ht="16.5" customHeight="1" x14ac:dyDescent="0.25">
      <c r="B144" s="4"/>
      <c r="C144" s="4"/>
      <c r="D144" s="4"/>
      <c r="E144" s="4"/>
      <c r="F144" s="5" t="str">
        <f>IFERROR(IF(E144="","",VLOOKUP(E144,Catalogo!$B$10:$D$209,2,0)),"")</f>
        <v/>
      </c>
      <c r="G144" s="5" t="str">
        <f>IFERROR(IF(E144="","",VLOOKUP(E144,Catalogo!$B$10:$D$209,3,0)),"")</f>
        <v/>
      </c>
      <c r="H144" s="4"/>
      <c r="I144" s="4" t="str">
        <f>IF(E144="","",SUMPRODUCT((E$9:E144=E144)*(C$9:C144&lt;&gt;"Salida")*H$9:H144)-SUMPRODUCT((E$9:E144=E144)*(C$9:C144="Salida")*H$9:H144))</f>
        <v/>
      </c>
    </row>
    <row r="145" spans="2:9" ht="16.5" customHeight="1" x14ac:dyDescent="0.25">
      <c r="B145" s="6"/>
      <c r="C145" s="6"/>
      <c r="D145" s="6"/>
      <c r="E145" s="6"/>
      <c r="F145" s="7" t="str">
        <f>IFERROR(IF(E145="","",VLOOKUP(E145,Catalogo!$B$10:$D$209,2,0)),"")</f>
        <v/>
      </c>
      <c r="G145" s="7" t="str">
        <f>IFERROR(IF(E145="","",VLOOKUP(E145,Catalogo!$B$10:$D$209,3,0)),"")</f>
        <v/>
      </c>
      <c r="H145" s="6"/>
      <c r="I145" s="6" t="str">
        <f>IF(E145="","",SUMPRODUCT((E$9:E145=E145)*(C$9:C145&lt;&gt;"Salida")*H$9:H145)-SUMPRODUCT((E$9:E145=E145)*(C$9:C145="Salida")*H$9:H145))</f>
        <v/>
      </c>
    </row>
    <row r="146" spans="2:9" ht="16.5" customHeight="1" x14ac:dyDescent="0.25">
      <c r="B146" s="4"/>
      <c r="C146" s="4"/>
      <c r="D146" s="4"/>
      <c r="E146" s="4"/>
      <c r="F146" s="5" t="str">
        <f>IFERROR(IF(E146="","",VLOOKUP(E146,Catalogo!$B$10:$D$209,2,0)),"")</f>
        <v/>
      </c>
      <c r="G146" s="5" t="str">
        <f>IFERROR(IF(E146="","",VLOOKUP(E146,Catalogo!$B$10:$D$209,3,0)),"")</f>
        <v/>
      </c>
      <c r="H146" s="4"/>
      <c r="I146" s="4" t="str">
        <f>IF(E146="","",SUMPRODUCT((E$9:E146=E146)*(C$9:C146&lt;&gt;"Salida")*H$9:H146)-SUMPRODUCT((E$9:E146=E146)*(C$9:C146="Salida")*H$9:H146))</f>
        <v/>
      </c>
    </row>
    <row r="147" spans="2:9" ht="16.5" customHeight="1" x14ac:dyDescent="0.25">
      <c r="B147" s="6"/>
      <c r="C147" s="6"/>
      <c r="D147" s="6"/>
      <c r="E147" s="6"/>
      <c r="F147" s="7" t="str">
        <f>IFERROR(IF(E147="","",VLOOKUP(E147,Catalogo!$B$10:$D$209,2,0)),"")</f>
        <v/>
      </c>
      <c r="G147" s="7" t="str">
        <f>IFERROR(IF(E147="","",VLOOKUP(E147,Catalogo!$B$10:$D$209,3,0)),"")</f>
        <v/>
      </c>
      <c r="H147" s="6"/>
      <c r="I147" s="6" t="str">
        <f>IF(E147="","",SUMPRODUCT((E$9:E147=E147)*(C$9:C147&lt;&gt;"Salida")*H$9:H147)-SUMPRODUCT((E$9:E147=E147)*(C$9:C147="Salida")*H$9:H147))</f>
        <v/>
      </c>
    </row>
    <row r="148" spans="2:9" ht="16.5" customHeight="1" x14ac:dyDescent="0.25">
      <c r="B148" s="4"/>
      <c r="C148" s="4"/>
      <c r="D148" s="4"/>
      <c r="E148" s="4"/>
      <c r="F148" s="5" t="str">
        <f>IFERROR(IF(E148="","",VLOOKUP(E148,Catalogo!$B$10:$D$209,2,0)),"")</f>
        <v/>
      </c>
      <c r="G148" s="5" t="str">
        <f>IFERROR(IF(E148="","",VLOOKUP(E148,Catalogo!$B$10:$D$209,3,0)),"")</f>
        <v/>
      </c>
      <c r="H148" s="4"/>
      <c r="I148" s="4" t="str">
        <f>IF(E148="","",SUMPRODUCT((E$9:E148=E148)*(C$9:C148&lt;&gt;"Salida")*H$9:H148)-SUMPRODUCT((E$9:E148=E148)*(C$9:C148="Salida")*H$9:H148))</f>
        <v/>
      </c>
    </row>
    <row r="149" spans="2:9" ht="16.5" customHeight="1" x14ac:dyDescent="0.25">
      <c r="B149" s="6"/>
      <c r="C149" s="6"/>
      <c r="D149" s="6"/>
      <c r="E149" s="6"/>
      <c r="F149" s="7" t="str">
        <f>IFERROR(IF(E149="","",VLOOKUP(E149,Catalogo!$B$10:$D$209,2,0)),"")</f>
        <v/>
      </c>
      <c r="G149" s="7" t="str">
        <f>IFERROR(IF(E149="","",VLOOKUP(E149,Catalogo!$B$10:$D$209,3,0)),"")</f>
        <v/>
      </c>
      <c r="H149" s="6"/>
      <c r="I149" s="6" t="str">
        <f>IF(E149="","",SUMPRODUCT((E$9:E149=E149)*(C$9:C149&lt;&gt;"Salida")*H$9:H149)-SUMPRODUCT((E$9:E149=E149)*(C$9:C149="Salida")*H$9:H149))</f>
        <v/>
      </c>
    </row>
    <row r="150" spans="2:9" ht="16.5" customHeight="1" x14ac:dyDescent="0.25">
      <c r="B150" s="4"/>
      <c r="C150" s="4"/>
      <c r="D150" s="4"/>
      <c r="E150" s="4"/>
      <c r="F150" s="5" t="str">
        <f>IFERROR(IF(E150="","",VLOOKUP(E150,Catalogo!$B$10:$D$209,2,0)),"")</f>
        <v/>
      </c>
      <c r="G150" s="5" t="str">
        <f>IFERROR(IF(E150="","",VLOOKUP(E150,Catalogo!$B$10:$D$209,3,0)),"")</f>
        <v/>
      </c>
      <c r="H150" s="4"/>
      <c r="I150" s="4" t="str">
        <f>IF(E150="","",SUMPRODUCT((E$9:E150=E150)*(C$9:C150&lt;&gt;"Salida")*H$9:H150)-SUMPRODUCT((E$9:E150=E150)*(C$9:C150="Salida")*H$9:H150))</f>
        <v/>
      </c>
    </row>
    <row r="151" spans="2:9" ht="16.5" customHeight="1" x14ac:dyDescent="0.25">
      <c r="B151" s="6"/>
      <c r="C151" s="6"/>
      <c r="D151" s="6"/>
      <c r="E151" s="6"/>
      <c r="F151" s="7" t="str">
        <f>IFERROR(IF(E151="","",VLOOKUP(E151,Catalogo!$B$10:$D$209,2,0)),"")</f>
        <v/>
      </c>
      <c r="G151" s="7" t="str">
        <f>IFERROR(IF(E151="","",VLOOKUP(E151,Catalogo!$B$10:$D$209,3,0)),"")</f>
        <v/>
      </c>
      <c r="H151" s="6"/>
      <c r="I151" s="6" t="str">
        <f>IF(E151="","",SUMPRODUCT((E$9:E151=E151)*(C$9:C151&lt;&gt;"Salida")*H$9:H151)-SUMPRODUCT((E$9:E151=E151)*(C$9:C151="Salida")*H$9:H151))</f>
        <v/>
      </c>
    </row>
    <row r="152" spans="2:9" ht="16.5" customHeight="1" x14ac:dyDescent="0.25">
      <c r="B152" s="4"/>
      <c r="C152" s="4"/>
      <c r="D152" s="4"/>
      <c r="E152" s="4"/>
      <c r="F152" s="5" t="str">
        <f>IFERROR(IF(E152="","",VLOOKUP(E152,Catalogo!$B$10:$D$209,2,0)),"")</f>
        <v/>
      </c>
      <c r="G152" s="5" t="str">
        <f>IFERROR(IF(E152="","",VLOOKUP(E152,Catalogo!$B$10:$D$209,3,0)),"")</f>
        <v/>
      </c>
      <c r="H152" s="4"/>
      <c r="I152" s="4" t="str">
        <f>IF(E152="","",SUMPRODUCT((E$9:E152=E152)*(C$9:C152&lt;&gt;"Salida")*H$9:H152)-SUMPRODUCT((E$9:E152=E152)*(C$9:C152="Salida")*H$9:H152))</f>
        <v/>
      </c>
    </row>
    <row r="153" spans="2:9" ht="16.5" customHeight="1" x14ac:dyDescent="0.25">
      <c r="B153" s="6"/>
      <c r="C153" s="6"/>
      <c r="D153" s="6"/>
      <c r="E153" s="6"/>
      <c r="F153" s="7" t="str">
        <f>IFERROR(IF(E153="","",VLOOKUP(E153,Catalogo!$B$10:$D$209,2,0)),"")</f>
        <v/>
      </c>
      <c r="G153" s="7" t="str">
        <f>IFERROR(IF(E153="","",VLOOKUP(E153,Catalogo!$B$10:$D$209,3,0)),"")</f>
        <v/>
      </c>
      <c r="H153" s="6"/>
      <c r="I153" s="6" t="str">
        <f>IF(E153="","",SUMPRODUCT((E$9:E153=E153)*(C$9:C153&lt;&gt;"Salida")*H$9:H153)-SUMPRODUCT((E$9:E153=E153)*(C$9:C153="Salida")*H$9:H153))</f>
        <v/>
      </c>
    </row>
    <row r="154" spans="2:9" ht="16.5" customHeight="1" x14ac:dyDescent="0.25">
      <c r="B154" s="4"/>
      <c r="C154" s="4"/>
      <c r="D154" s="4"/>
      <c r="E154" s="4"/>
      <c r="F154" s="5" t="str">
        <f>IFERROR(IF(E154="","",VLOOKUP(E154,Catalogo!$B$10:$D$209,2,0)),"")</f>
        <v/>
      </c>
      <c r="G154" s="5" t="str">
        <f>IFERROR(IF(E154="","",VLOOKUP(E154,Catalogo!$B$10:$D$209,3,0)),"")</f>
        <v/>
      </c>
      <c r="H154" s="4"/>
      <c r="I154" s="4" t="str">
        <f>IF(E154="","",SUMPRODUCT((E$9:E154=E154)*(C$9:C154&lt;&gt;"Salida")*H$9:H154)-SUMPRODUCT((E$9:E154=E154)*(C$9:C154="Salida")*H$9:H154))</f>
        <v/>
      </c>
    </row>
    <row r="155" spans="2:9" ht="16.5" customHeight="1" x14ac:dyDescent="0.25">
      <c r="B155" s="6"/>
      <c r="C155" s="6"/>
      <c r="D155" s="6"/>
      <c r="E155" s="6"/>
      <c r="F155" s="7" t="str">
        <f>IFERROR(IF(E155="","",VLOOKUP(E155,Catalogo!$B$10:$D$209,2,0)),"")</f>
        <v/>
      </c>
      <c r="G155" s="7" t="str">
        <f>IFERROR(IF(E155="","",VLOOKUP(E155,Catalogo!$B$10:$D$209,3,0)),"")</f>
        <v/>
      </c>
      <c r="H155" s="6"/>
      <c r="I155" s="6" t="str">
        <f>IF(E155="","",SUMPRODUCT((E$9:E155=E155)*(C$9:C155&lt;&gt;"Salida")*H$9:H155)-SUMPRODUCT((E$9:E155=E155)*(C$9:C155="Salida")*H$9:H155))</f>
        <v/>
      </c>
    </row>
    <row r="156" spans="2:9" ht="16.5" customHeight="1" x14ac:dyDescent="0.25">
      <c r="B156" s="4"/>
      <c r="C156" s="4"/>
      <c r="D156" s="4"/>
      <c r="E156" s="4"/>
      <c r="F156" s="5" t="str">
        <f>IFERROR(IF(E156="","",VLOOKUP(E156,Catalogo!$B$10:$D$209,2,0)),"")</f>
        <v/>
      </c>
      <c r="G156" s="5" t="str">
        <f>IFERROR(IF(E156="","",VLOOKUP(E156,Catalogo!$B$10:$D$209,3,0)),"")</f>
        <v/>
      </c>
      <c r="H156" s="4"/>
      <c r="I156" s="4" t="str">
        <f>IF(E156="","",SUMPRODUCT((E$9:E156=E156)*(C$9:C156&lt;&gt;"Salida")*H$9:H156)-SUMPRODUCT((E$9:E156=E156)*(C$9:C156="Salida")*H$9:H156))</f>
        <v/>
      </c>
    </row>
    <row r="157" spans="2:9" ht="16.5" customHeight="1" x14ac:dyDescent="0.25">
      <c r="B157" s="6"/>
      <c r="C157" s="6"/>
      <c r="D157" s="6"/>
      <c r="E157" s="6"/>
      <c r="F157" s="7" t="str">
        <f>IFERROR(IF(E157="","",VLOOKUP(E157,Catalogo!$B$10:$D$209,2,0)),"")</f>
        <v/>
      </c>
      <c r="G157" s="7" t="str">
        <f>IFERROR(IF(E157="","",VLOOKUP(E157,Catalogo!$B$10:$D$209,3,0)),"")</f>
        <v/>
      </c>
      <c r="H157" s="6"/>
      <c r="I157" s="6" t="str">
        <f>IF(E157="","",SUMPRODUCT((E$9:E157=E157)*(C$9:C157&lt;&gt;"Salida")*H$9:H157)-SUMPRODUCT((E$9:E157=E157)*(C$9:C157="Salida")*H$9:H157))</f>
        <v/>
      </c>
    </row>
    <row r="158" spans="2:9" ht="16.5" customHeight="1" x14ac:dyDescent="0.25">
      <c r="B158" s="4"/>
      <c r="C158" s="4"/>
      <c r="D158" s="4"/>
      <c r="E158" s="4"/>
      <c r="F158" s="5" t="str">
        <f>IFERROR(IF(E158="","",VLOOKUP(E158,Catalogo!$B$10:$D$209,2,0)),"")</f>
        <v/>
      </c>
      <c r="G158" s="5" t="str">
        <f>IFERROR(IF(E158="","",VLOOKUP(E158,Catalogo!$B$10:$D$209,3,0)),"")</f>
        <v/>
      </c>
      <c r="H158" s="4"/>
      <c r="I158" s="4" t="str">
        <f>IF(E158="","",SUMPRODUCT((E$9:E158=E158)*(C$9:C158&lt;&gt;"Salida")*H$9:H158)-SUMPRODUCT((E$9:E158=E158)*(C$9:C158="Salida")*H$9:H158))</f>
        <v/>
      </c>
    </row>
    <row r="159" spans="2:9" ht="16.5" customHeight="1" x14ac:dyDescent="0.25">
      <c r="B159" s="6"/>
      <c r="C159" s="6"/>
      <c r="D159" s="6"/>
      <c r="E159" s="6"/>
      <c r="F159" s="7" t="str">
        <f>IFERROR(IF(E159="","",VLOOKUP(E159,Catalogo!$B$10:$D$209,2,0)),"")</f>
        <v/>
      </c>
      <c r="G159" s="7" t="str">
        <f>IFERROR(IF(E159="","",VLOOKUP(E159,Catalogo!$B$10:$D$209,3,0)),"")</f>
        <v/>
      </c>
      <c r="H159" s="6"/>
      <c r="I159" s="6" t="str">
        <f>IF(E159="","",SUMPRODUCT((E$9:E159=E159)*(C$9:C159&lt;&gt;"Salida")*H$9:H159)-SUMPRODUCT((E$9:E159=E159)*(C$9:C159="Salida")*H$9:H159))</f>
        <v/>
      </c>
    </row>
    <row r="160" spans="2:9" ht="16.5" customHeight="1" x14ac:dyDescent="0.25">
      <c r="B160" s="4"/>
      <c r="C160" s="4"/>
      <c r="D160" s="4"/>
      <c r="E160" s="4"/>
      <c r="F160" s="5" t="str">
        <f>IFERROR(IF(E160="","",VLOOKUP(E160,Catalogo!$B$10:$D$209,2,0)),"")</f>
        <v/>
      </c>
      <c r="G160" s="5" t="str">
        <f>IFERROR(IF(E160="","",VLOOKUP(E160,Catalogo!$B$10:$D$209,3,0)),"")</f>
        <v/>
      </c>
      <c r="H160" s="4"/>
      <c r="I160" s="4" t="str">
        <f>IF(E160="","",SUMPRODUCT((E$9:E160=E160)*(C$9:C160&lt;&gt;"Salida")*H$9:H160)-SUMPRODUCT((E$9:E160=E160)*(C$9:C160="Salida")*H$9:H160))</f>
        <v/>
      </c>
    </row>
    <row r="161" spans="2:9" ht="16.5" customHeight="1" x14ac:dyDescent="0.25">
      <c r="B161" s="6"/>
      <c r="C161" s="6"/>
      <c r="D161" s="6"/>
      <c r="E161" s="6"/>
      <c r="F161" s="7" t="str">
        <f>IFERROR(IF(E161="","",VLOOKUP(E161,Catalogo!$B$10:$D$209,2,0)),"")</f>
        <v/>
      </c>
      <c r="G161" s="7" t="str">
        <f>IFERROR(IF(E161="","",VLOOKUP(E161,Catalogo!$B$10:$D$209,3,0)),"")</f>
        <v/>
      </c>
      <c r="H161" s="6"/>
      <c r="I161" s="6" t="str">
        <f>IF(E161="","",SUMPRODUCT((E$9:E161=E161)*(C$9:C161&lt;&gt;"Salida")*H$9:H161)-SUMPRODUCT((E$9:E161=E161)*(C$9:C161="Salida")*H$9:H161))</f>
        <v/>
      </c>
    </row>
    <row r="162" spans="2:9" ht="16.5" customHeight="1" x14ac:dyDescent="0.25">
      <c r="B162" s="4"/>
      <c r="C162" s="4"/>
      <c r="D162" s="4"/>
      <c r="E162" s="4"/>
      <c r="F162" s="5" t="str">
        <f>IFERROR(IF(E162="","",VLOOKUP(E162,Catalogo!$B$10:$D$209,2,0)),"")</f>
        <v/>
      </c>
      <c r="G162" s="5" t="str">
        <f>IFERROR(IF(E162="","",VLOOKUP(E162,Catalogo!$B$10:$D$209,3,0)),"")</f>
        <v/>
      </c>
      <c r="H162" s="4"/>
      <c r="I162" s="4" t="str">
        <f>IF(E162="","",SUMPRODUCT((E$9:E162=E162)*(C$9:C162&lt;&gt;"Salida")*H$9:H162)-SUMPRODUCT((E$9:E162=E162)*(C$9:C162="Salida")*H$9:H162))</f>
        <v/>
      </c>
    </row>
    <row r="163" spans="2:9" ht="16.5" customHeight="1" x14ac:dyDescent="0.25">
      <c r="B163" s="6"/>
      <c r="C163" s="6"/>
      <c r="D163" s="6"/>
      <c r="E163" s="6"/>
      <c r="F163" s="7" t="str">
        <f>IFERROR(IF(E163="","",VLOOKUP(E163,Catalogo!$B$10:$D$209,2,0)),"")</f>
        <v/>
      </c>
      <c r="G163" s="7" t="str">
        <f>IFERROR(IF(E163="","",VLOOKUP(E163,Catalogo!$B$10:$D$209,3,0)),"")</f>
        <v/>
      </c>
      <c r="H163" s="6"/>
      <c r="I163" s="6" t="str">
        <f>IF(E163="","",SUMPRODUCT((E$9:E163=E163)*(C$9:C163&lt;&gt;"Salida")*H$9:H163)-SUMPRODUCT((E$9:E163=E163)*(C$9:C163="Salida")*H$9:H163))</f>
        <v/>
      </c>
    </row>
    <row r="164" spans="2:9" ht="16.5" customHeight="1" x14ac:dyDescent="0.25">
      <c r="B164" s="4"/>
      <c r="C164" s="4"/>
      <c r="D164" s="4"/>
      <c r="E164" s="4"/>
      <c r="F164" s="5" t="str">
        <f>IFERROR(IF(E164="","",VLOOKUP(E164,Catalogo!$B$10:$D$209,2,0)),"")</f>
        <v/>
      </c>
      <c r="G164" s="5" t="str">
        <f>IFERROR(IF(E164="","",VLOOKUP(E164,Catalogo!$B$10:$D$209,3,0)),"")</f>
        <v/>
      </c>
      <c r="H164" s="4"/>
      <c r="I164" s="4" t="str">
        <f>IF(E164="","",SUMPRODUCT((E$9:E164=E164)*(C$9:C164&lt;&gt;"Salida")*H$9:H164)-SUMPRODUCT((E$9:E164=E164)*(C$9:C164="Salida")*H$9:H164))</f>
        <v/>
      </c>
    </row>
    <row r="165" spans="2:9" ht="16.5" customHeight="1" x14ac:dyDescent="0.25">
      <c r="B165" s="6"/>
      <c r="C165" s="6"/>
      <c r="D165" s="6"/>
      <c r="E165" s="6"/>
      <c r="F165" s="7" t="str">
        <f>IFERROR(IF(E165="","",VLOOKUP(E165,Catalogo!$B$10:$D$209,2,0)),"")</f>
        <v/>
      </c>
      <c r="G165" s="7" t="str">
        <f>IFERROR(IF(E165="","",VLOOKUP(E165,Catalogo!$B$10:$D$209,3,0)),"")</f>
        <v/>
      </c>
      <c r="H165" s="6"/>
      <c r="I165" s="6" t="str">
        <f>IF(E165="","",SUMPRODUCT((E$9:E165=E165)*(C$9:C165&lt;&gt;"Salida")*H$9:H165)-SUMPRODUCT((E$9:E165=E165)*(C$9:C165="Salida")*H$9:H165))</f>
        <v/>
      </c>
    </row>
    <row r="166" spans="2:9" ht="16.5" customHeight="1" x14ac:dyDescent="0.25">
      <c r="B166" s="4"/>
      <c r="C166" s="4"/>
      <c r="D166" s="4"/>
      <c r="E166" s="4"/>
      <c r="F166" s="5" t="str">
        <f>IFERROR(IF(E166="","",VLOOKUP(E166,Catalogo!$B$10:$D$209,2,0)),"")</f>
        <v/>
      </c>
      <c r="G166" s="5" t="str">
        <f>IFERROR(IF(E166="","",VLOOKUP(E166,Catalogo!$B$10:$D$209,3,0)),"")</f>
        <v/>
      </c>
      <c r="H166" s="4"/>
      <c r="I166" s="4" t="str">
        <f>IF(E166="","",SUMPRODUCT((E$9:E166=E166)*(C$9:C166&lt;&gt;"Salida")*H$9:H166)-SUMPRODUCT((E$9:E166=E166)*(C$9:C166="Salida")*H$9:H166))</f>
        <v/>
      </c>
    </row>
    <row r="167" spans="2:9" ht="16.5" customHeight="1" x14ac:dyDescent="0.25">
      <c r="B167" s="6"/>
      <c r="C167" s="6"/>
      <c r="D167" s="6"/>
      <c r="E167" s="6"/>
      <c r="F167" s="7" t="str">
        <f>IFERROR(IF(E167="","",VLOOKUP(E167,Catalogo!$B$10:$D$209,2,0)),"")</f>
        <v/>
      </c>
      <c r="G167" s="7" t="str">
        <f>IFERROR(IF(E167="","",VLOOKUP(E167,Catalogo!$B$10:$D$209,3,0)),"")</f>
        <v/>
      </c>
      <c r="H167" s="6"/>
      <c r="I167" s="6" t="str">
        <f>IF(E167="","",SUMPRODUCT((E$9:E167=E167)*(C$9:C167&lt;&gt;"Salida")*H$9:H167)-SUMPRODUCT((E$9:E167=E167)*(C$9:C167="Salida")*H$9:H167))</f>
        <v/>
      </c>
    </row>
    <row r="168" spans="2:9" ht="16.5" customHeight="1" x14ac:dyDescent="0.25">
      <c r="B168" s="4"/>
      <c r="C168" s="4"/>
      <c r="D168" s="4"/>
      <c r="E168" s="4"/>
      <c r="F168" s="5" t="str">
        <f>IFERROR(IF(E168="","",VLOOKUP(E168,Catalogo!$B$10:$D$209,2,0)),"")</f>
        <v/>
      </c>
      <c r="G168" s="5" t="str">
        <f>IFERROR(IF(E168="","",VLOOKUP(E168,Catalogo!$B$10:$D$209,3,0)),"")</f>
        <v/>
      </c>
      <c r="H168" s="4"/>
      <c r="I168" s="4" t="str">
        <f>IF(E168="","",SUMPRODUCT((E$9:E168=E168)*(C$9:C168&lt;&gt;"Salida")*H$9:H168)-SUMPRODUCT((E$9:E168=E168)*(C$9:C168="Salida")*H$9:H168))</f>
        <v/>
      </c>
    </row>
    <row r="169" spans="2:9" ht="16.5" customHeight="1" x14ac:dyDescent="0.25">
      <c r="B169" s="6"/>
      <c r="C169" s="6"/>
      <c r="D169" s="6"/>
      <c r="E169" s="6"/>
      <c r="F169" s="7" t="str">
        <f>IFERROR(IF(E169="","",VLOOKUP(E169,Catalogo!$B$10:$D$209,2,0)),"")</f>
        <v/>
      </c>
      <c r="G169" s="7" t="str">
        <f>IFERROR(IF(E169="","",VLOOKUP(E169,Catalogo!$B$10:$D$209,3,0)),"")</f>
        <v/>
      </c>
      <c r="H169" s="6"/>
      <c r="I169" s="6" t="str">
        <f>IF(E169="","",SUMPRODUCT((E$9:E169=E169)*(C$9:C169&lt;&gt;"Salida")*H$9:H169)-SUMPRODUCT((E$9:E169=E169)*(C$9:C169="Salida")*H$9:H169))</f>
        <v/>
      </c>
    </row>
    <row r="170" spans="2:9" ht="16.5" customHeight="1" x14ac:dyDescent="0.25">
      <c r="B170" s="4"/>
      <c r="C170" s="4"/>
      <c r="D170" s="4"/>
      <c r="E170" s="4"/>
      <c r="F170" s="5" t="str">
        <f>IFERROR(IF(E170="","",VLOOKUP(E170,Catalogo!$B$10:$D$209,2,0)),"")</f>
        <v/>
      </c>
      <c r="G170" s="5" t="str">
        <f>IFERROR(IF(E170="","",VLOOKUP(E170,Catalogo!$B$10:$D$209,3,0)),"")</f>
        <v/>
      </c>
      <c r="H170" s="4"/>
      <c r="I170" s="4" t="str">
        <f>IF(E170="","",SUMPRODUCT((E$9:E170=E170)*(C$9:C170&lt;&gt;"Salida")*H$9:H170)-SUMPRODUCT((E$9:E170=E170)*(C$9:C170="Salida")*H$9:H170))</f>
        <v/>
      </c>
    </row>
    <row r="171" spans="2:9" ht="16.5" customHeight="1" x14ac:dyDescent="0.25">
      <c r="B171" s="6"/>
      <c r="C171" s="6"/>
      <c r="D171" s="6"/>
      <c r="E171" s="6"/>
      <c r="F171" s="7" t="str">
        <f>IFERROR(IF(E171="","",VLOOKUP(E171,Catalogo!$B$10:$D$209,2,0)),"")</f>
        <v/>
      </c>
      <c r="G171" s="7" t="str">
        <f>IFERROR(IF(E171="","",VLOOKUP(E171,Catalogo!$B$10:$D$209,3,0)),"")</f>
        <v/>
      </c>
      <c r="H171" s="6"/>
      <c r="I171" s="6" t="str">
        <f>IF(E171="","",SUMPRODUCT((E$9:E171=E171)*(C$9:C171&lt;&gt;"Salida")*H$9:H171)-SUMPRODUCT((E$9:E171=E171)*(C$9:C171="Salida")*H$9:H171))</f>
        <v/>
      </c>
    </row>
    <row r="172" spans="2:9" ht="16.5" customHeight="1" x14ac:dyDescent="0.25">
      <c r="B172" s="4"/>
      <c r="C172" s="4"/>
      <c r="D172" s="4"/>
      <c r="E172" s="4"/>
      <c r="F172" s="5" t="str">
        <f>IFERROR(IF(E172="","",VLOOKUP(E172,Catalogo!$B$10:$D$209,2,0)),"")</f>
        <v/>
      </c>
      <c r="G172" s="5" t="str">
        <f>IFERROR(IF(E172="","",VLOOKUP(E172,Catalogo!$B$10:$D$209,3,0)),"")</f>
        <v/>
      </c>
      <c r="H172" s="4"/>
      <c r="I172" s="4" t="str">
        <f>IF(E172="","",SUMPRODUCT((E$9:E172=E172)*(C$9:C172&lt;&gt;"Salida")*H$9:H172)-SUMPRODUCT((E$9:E172=E172)*(C$9:C172="Salida")*H$9:H172))</f>
        <v/>
      </c>
    </row>
    <row r="173" spans="2:9" ht="16.5" customHeight="1" x14ac:dyDescent="0.25">
      <c r="B173" s="6"/>
      <c r="C173" s="6"/>
      <c r="D173" s="6"/>
      <c r="E173" s="6"/>
      <c r="F173" s="7" t="str">
        <f>IFERROR(IF(E173="","",VLOOKUP(E173,Catalogo!$B$10:$D$209,2,0)),"")</f>
        <v/>
      </c>
      <c r="G173" s="7" t="str">
        <f>IFERROR(IF(E173="","",VLOOKUP(E173,Catalogo!$B$10:$D$209,3,0)),"")</f>
        <v/>
      </c>
      <c r="H173" s="6"/>
      <c r="I173" s="6" t="str">
        <f>IF(E173="","",SUMPRODUCT((E$9:E173=E173)*(C$9:C173&lt;&gt;"Salida")*H$9:H173)-SUMPRODUCT((E$9:E173=E173)*(C$9:C173="Salida")*H$9:H173))</f>
        <v/>
      </c>
    </row>
    <row r="174" spans="2:9" ht="16.5" customHeight="1" x14ac:dyDescent="0.25">
      <c r="B174" s="4"/>
      <c r="C174" s="4"/>
      <c r="D174" s="4"/>
      <c r="E174" s="4"/>
      <c r="F174" s="5" t="str">
        <f>IFERROR(IF(E174="","",VLOOKUP(E174,Catalogo!$B$10:$D$209,2,0)),"")</f>
        <v/>
      </c>
      <c r="G174" s="5" t="str">
        <f>IFERROR(IF(E174="","",VLOOKUP(E174,Catalogo!$B$10:$D$209,3,0)),"")</f>
        <v/>
      </c>
      <c r="H174" s="4"/>
      <c r="I174" s="4" t="str">
        <f>IF(E174="","",SUMPRODUCT((E$9:E174=E174)*(C$9:C174&lt;&gt;"Salida")*H$9:H174)-SUMPRODUCT((E$9:E174=E174)*(C$9:C174="Salida")*H$9:H174))</f>
        <v/>
      </c>
    </row>
    <row r="175" spans="2:9" ht="16.5" customHeight="1" x14ac:dyDescent="0.25">
      <c r="B175" s="6"/>
      <c r="C175" s="6"/>
      <c r="D175" s="6"/>
      <c r="E175" s="6"/>
      <c r="F175" s="7" t="str">
        <f>IFERROR(IF(E175="","",VLOOKUP(E175,Catalogo!$B$10:$D$209,2,0)),"")</f>
        <v/>
      </c>
      <c r="G175" s="7" t="str">
        <f>IFERROR(IF(E175="","",VLOOKUP(E175,Catalogo!$B$10:$D$209,3,0)),"")</f>
        <v/>
      </c>
      <c r="H175" s="6"/>
      <c r="I175" s="6" t="str">
        <f>IF(E175="","",SUMPRODUCT((E$9:E175=E175)*(C$9:C175&lt;&gt;"Salida")*H$9:H175)-SUMPRODUCT((E$9:E175=E175)*(C$9:C175="Salida")*H$9:H175))</f>
        <v/>
      </c>
    </row>
    <row r="176" spans="2:9" ht="16.5" customHeight="1" x14ac:dyDescent="0.25">
      <c r="B176" s="4"/>
      <c r="C176" s="4"/>
      <c r="D176" s="4"/>
      <c r="E176" s="4"/>
      <c r="F176" s="5" t="str">
        <f>IFERROR(IF(E176="","",VLOOKUP(E176,Catalogo!$B$10:$D$209,2,0)),"")</f>
        <v/>
      </c>
      <c r="G176" s="5" t="str">
        <f>IFERROR(IF(E176="","",VLOOKUP(E176,Catalogo!$B$10:$D$209,3,0)),"")</f>
        <v/>
      </c>
      <c r="H176" s="4"/>
      <c r="I176" s="4" t="str">
        <f>IF(E176="","",SUMPRODUCT((E$9:E176=E176)*(C$9:C176&lt;&gt;"Salida")*H$9:H176)-SUMPRODUCT((E$9:E176=E176)*(C$9:C176="Salida")*H$9:H176))</f>
        <v/>
      </c>
    </row>
    <row r="177" spans="2:9" ht="16.5" customHeight="1" x14ac:dyDescent="0.25">
      <c r="B177" s="6"/>
      <c r="C177" s="6"/>
      <c r="D177" s="6"/>
      <c r="E177" s="6"/>
      <c r="F177" s="7" t="str">
        <f>IFERROR(IF(E177="","",VLOOKUP(E177,Catalogo!$B$10:$D$209,2,0)),"")</f>
        <v/>
      </c>
      <c r="G177" s="7" t="str">
        <f>IFERROR(IF(E177="","",VLOOKUP(E177,Catalogo!$B$10:$D$209,3,0)),"")</f>
        <v/>
      </c>
      <c r="H177" s="6"/>
      <c r="I177" s="6" t="str">
        <f>IF(E177="","",SUMPRODUCT((E$9:E177=E177)*(C$9:C177&lt;&gt;"Salida")*H$9:H177)-SUMPRODUCT((E$9:E177=E177)*(C$9:C177="Salida")*H$9:H177))</f>
        <v/>
      </c>
    </row>
    <row r="178" spans="2:9" ht="16.5" customHeight="1" x14ac:dyDescent="0.25">
      <c r="B178" s="4"/>
      <c r="C178" s="4"/>
      <c r="D178" s="4"/>
      <c r="E178" s="4"/>
      <c r="F178" s="5" t="str">
        <f>IFERROR(IF(E178="","",VLOOKUP(E178,Catalogo!$B$10:$D$209,2,0)),"")</f>
        <v/>
      </c>
      <c r="G178" s="5" t="str">
        <f>IFERROR(IF(E178="","",VLOOKUP(E178,Catalogo!$B$10:$D$209,3,0)),"")</f>
        <v/>
      </c>
      <c r="H178" s="4"/>
      <c r="I178" s="4" t="str">
        <f>IF(E178="","",SUMPRODUCT((E$9:E178=E178)*(C$9:C178&lt;&gt;"Salida")*H$9:H178)-SUMPRODUCT((E$9:E178=E178)*(C$9:C178="Salida")*H$9:H178))</f>
        <v/>
      </c>
    </row>
    <row r="179" spans="2:9" ht="16.5" customHeight="1" x14ac:dyDescent="0.25">
      <c r="B179" s="6"/>
      <c r="C179" s="6"/>
      <c r="D179" s="6"/>
      <c r="E179" s="6"/>
      <c r="F179" s="7" t="str">
        <f>IFERROR(IF(E179="","",VLOOKUP(E179,Catalogo!$B$10:$D$209,2,0)),"")</f>
        <v/>
      </c>
      <c r="G179" s="7" t="str">
        <f>IFERROR(IF(E179="","",VLOOKUP(E179,Catalogo!$B$10:$D$209,3,0)),"")</f>
        <v/>
      </c>
      <c r="H179" s="6"/>
      <c r="I179" s="6" t="str">
        <f>IF(E179="","",SUMPRODUCT((E$9:E179=E179)*(C$9:C179&lt;&gt;"Salida")*H$9:H179)-SUMPRODUCT((E$9:E179=E179)*(C$9:C179="Salida")*H$9:H179))</f>
        <v/>
      </c>
    </row>
    <row r="180" spans="2:9" ht="16.5" customHeight="1" x14ac:dyDescent="0.25">
      <c r="B180" s="4"/>
      <c r="C180" s="4"/>
      <c r="D180" s="4"/>
      <c r="E180" s="4"/>
      <c r="F180" s="5" t="str">
        <f>IFERROR(IF(E180="","",VLOOKUP(E180,Catalogo!$B$10:$D$209,2,0)),"")</f>
        <v/>
      </c>
      <c r="G180" s="5" t="str">
        <f>IFERROR(IF(E180="","",VLOOKUP(E180,Catalogo!$B$10:$D$209,3,0)),"")</f>
        <v/>
      </c>
      <c r="H180" s="4"/>
      <c r="I180" s="4" t="str">
        <f>IF(E180="","",SUMPRODUCT((E$9:E180=E180)*(C$9:C180&lt;&gt;"Salida")*H$9:H180)-SUMPRODUCT((E$9:E180=E180)*(C$9:C180="Salida")*H$9:H180))</f>
        <v/>
      </c>
    </row>
    <row r="181" spans="2:9" ht="16.5" customHeight="1" x14ac:dyDescent="0.25">
      <c r="B181" s="6"/>
      <c r="C181" s="6"/>
      <c r="D181" s="6"/>
      <c r="E181" s="6"/>
      <c r="F181" s="7" t="str">
        <f>IFERROR(IF(E181="","",VLOOKUP(E181,Catalogo!$B$10:$D$209,2,0)),"")</f>
        <v/>
      </c>
      <c r="G181" s="7" t="str">
        <f>IFERROR(IF(E181="","",VLOOKUP(E181,Catalogo!$B$10:$D$209,3,0)),"")</f>
        <v/>
      </c>
      <c r="H181" s="6"/>
      <c r="I181" s="6" t="str">
        <f>IF(E181="","",SUMPRODUCT((E$9:E181=E181)*(C$9:C181&lt;&gt;"Salida")*H$9:H181)-SUMPRODUCT((E$9:E181=E181)*(C$9:C181="Salida")*H$9:H181))</f>
        <v/>
      </c>
    </row>
    <row r="182" spans="2:9" ht="16.5" customHeight="1" x14ac:dyDescent="0.25">
      <c r="B182" s="4"/>
      <c r="C182" s="4"/>
      <c r="D182" s="4"/>
      <c r="E182" s="4"/>
      <c r="F182" s="5" t="str">
        <f>IFERROR(IF(E182="","",VLOOKUP(E182,Catalogo!$B$10:$D$209,2,0)),"")</f>
        <v/>
      </c>
      <c r="G182" s="5" t="str">
        <f>IFERROR(IF(E182="","",VLOOKUP(E182,Catalogo!$B$10:$D$209,3,0)),"")</f>
        <v/>
      </c>
      <c r="H182" s="4"/>
      <c r="I182" s="4" t="str">
        <f>IF(E182="","",SUMPRODUCT((E$9:E182=E182)*(C$9:C182&lt;&gt;"Salida")*H$9:H182)-SUMPRODUCT((E$9:E182=E182)*(C$9:C182="Salida")*H$9:H182))</f>
        <v/>
      </c>
    </row>
    <row r="183" spans="2:9" ht="16.5" customHeight="1" x14ac:dyDescent="0.25">
      <c r="B183" s="6"/>
      <c r="C183" s="6"/>
      <c r="D183" s="6"/>
      <c r="E183" s="6"/>
      <c r="F183" s="7" t="str">
        <f>IFERROR(IF(E183="","",VLOOKUP(E183,Catalogo!$B$10:$D$209,2,0)),"")</f>
        <v/>
      </c>
      <c r="G183" s="7" t="str">
        <f>IFERROR(IF(E183="","",VLOOKUP(E183,Catalogo!$B$10:$D$209,3,0)),"")</f>
        <v/>
      </c>
      <c r="H183" s="6"/>
      <c r="I183" s="6" t="str">
        <f>IF(E183="","",SUMPRODUCT((E$9:E183=E183)*(C$9:C183&lt;&gt;"Salida")*H$9:H183)-SUMPRODUCT((E$9:E183=E183)*(C$9:C183="Salida")*H$9:H183))</f>
        <v/>
      </c>
    </row>
    <row r="184" spans="2:9" ht="16.5" customHeight="1" x14ac:dyDescent="0.25">
      <c r="B184" s="4"/>
      <c r="C184" s="4"/>
      <c r="D184" s="4"/>
      <c r="E184" s="4"/>
      <c r="F184" s="5" t="str">
        <f>IFERROR(IF(E184="","",VLOOKUP(E184,Catalogo!$B$10:$D$209,2,0)),"")</f>
        <v/>
      </c>
      <c r="G184" s="5" t="str">
        <f>IFERROR(IF(E184="","",VLOOKUP(E184,Catalogo!$B$10:$D$209,3,0)),"")</f>
        <v/>
      </c>
      <c r="H184" s="4"/>
      <c r="I184" s="4" t="str">
        <f>IF(E184="","",SUMPRODUCT((E$9:E184=E184)*(C$9:C184&lt;&gt;"Salida")*H$9:H184)-SUMPRODUCT((E$9:E184=E184)*(C$9:C184="Salida")*H$9:H184))</f>
        <v/>
      </c>
    </row>
    <row r="185" spans="2:9" ht="16.5" customHeight="1" x14ac:dyDescent="0.25">
      <c r="B185" s="6"/>
      <c r="C185" s="6"/>
      <c r="D185" s="6"/>
      <c r="E185" s="6"/>
      <c r="F185" s="7" t="str">
        <f>IFERROR(IF(E185="","",VLOOKUP(E185,Catalogo!$B$10:$D$209,2,0)),"")</f>
        <v/>
      </c>
      <c r="G185" s="7" t="str">
        <f>IFERROR(IF(E185="","",VLOOKUP(E185,Catalogo!$B$10:$D$209,3,0)),"")</f>
        <v/>
      </c>
      <c r="H185" s="6"/>
      <c r="I185" s="6" t="str">
        <f>IF(E185="","",SUMPRODUCT((E$9:E185=E185)*(C$9:C185&lt;&gt;"Salida")*H$9:H185)-SUMPRODUCT((E$9:E185=E185)*(C$9:C185="Salida")*H$9:H185))</f>
        <v/>
      </c>
    </row>
    <row r="186" spans="2:9" ht="16.5" customHeight="1" x14ac:dyDescent="0.25">
      <c r="B186" s="4"/>
      <c r="C186" s="4"/>
      <c r="D186" s="4"/>
      <c r="E186" s="4"/>
      <c r="F186" s="5" t="str">
        <f>IFERROR(IF(E186="","",VLOOKUP(E186,Catalogo!$B$10:$D$209,2,0)),"")</f>
        <v/>
      </c>
      <c r="G186" s="5" t="str">
        <f>IFERROR(IF(E186="","",VLOOKUP(E186,Catalogo!$B$10:$D$209,3,0)),"")</f>
        <v/>
      </c>
      <c r="H186" s="4"/>
      <c r="I186" s="4" t="str">
        <f>IF(E186="","",SUMPRODUCT((E$9:E186=E186)*(C$9:C186&lt;&gt;"Salida")*H$9:H186)-SUMPRODUCT((E$9:E186=E186)*(C$9:C186="Salida")*H$9:H186))</f>
        <v/>
      </c>
    </row>
    <row r="187" spans="2:9" ht="16.5" customHeight="1" x14ac:dyDescent="0.25">
      <c r="B187" s="6"/>
      <c r="C187" s="6"/>
      <c r="D187" s="6"/>
      <c r="E187" s="6"/>
      <c r="F187" s="7" t="str">
        <f>IFERROR(IF(E187="","",VLOOKUP(E187,Catalogo!$B$10:$D$209,2,0)),"")</f>
        <v/>
      </c>
      <c r="G187" s="7" t="str">
        <f>IFERROR(IF(E187="","",VLOOKUP(E187,Catalogo!$B$10:$D$209,3,0)),"")</f>
        <v/>
      </c>
      <c r="H187" s="6"/>
      <c r="I187" s="6" t="str">
        <f>IF(E187="","",SUMPRODUCT((E$9:E187=E187)*(C$9:C187&lt;&gt;"Salida")*H$9:H187)-SUMPRODUCT((E$9:E187=E187)*(C$9:C187="Salida")*H$9:H187))</f>
        <v/>
      </c>
    </row>
    <row r="188" spans="2:9" ht="16.5" customHeight="1" x14ac:dyDescent="0.25">
      <c r="B188" s="4"/>
      <c r="C188" s="4"/>
      <c r="D188" s="4"/>
      <c r="E188" s="4"/>
      <c r="F188" s="5" t="str">
        <f>IFERROR(IF(E188="","",VLOOKUP(E188,Catalogo!$B$10:$D$209,2,0)),"")</f>
        <v/>
      </c>
      <c r="G188" s="5" t="str">
        <f>IFERROR(IF(E188="","",VLOOKUP(E188,Catalogo!$B$10:$D$209,3,0)),"")</f>
        <v/>
      </c>
      <c r="H188" s="4"/>
      <c r="I188" s="4" t="str">
        <f>IF(E188="","",SUMPRODUCT((E$9:E188=E188)*(C$9:C188&lt;&gt;"Salida")*H$9:H188)-SUMPRODUCT((E$9:E188=E188)*(C$9:C188="Salida")*H$9:H188))</f>
        <v/>
      </c>
    </row>
    <row r="189" spans="2:9" ht="16.5" customHeight="1" x14ac:dyDescent="0.25">
      <c r="B189" s="6"/>
      <c r="C189" s="6"/>
      <c r="D189" s="6"/>
      <c r="E189" s="6"/>
      <c r="F189" s="7" t="str">
        <f>IFERROR(IF(E189="","",VLOOKUP(E189,Catalogo!$B$10:$D$209,2,0)),"")</f>
        <v/>
      </c>
      <c r="G189" s="7" t="str">
        <f>IFERROR(IF(E189="","",VLOOKUP(E189,Catalogo!$B$10:$D$209,3,0)),"")</f>
        <v/>
      </c>
      <c r="H189" s="6"/>
      <c r="I189" s="6" t="str">
        <f>IF(E189="","",SUMPRODUCT((E$9:E189=E189)*(C$9:C189&lt;&gt;"Salida")*H$9:H189)-SUMPRODUCT((E$9:E189=E189)*(C$9:C189="Salida")*H$9:H189))</f>
        <v/>
      </c>
    </row>
    <row r="190" spans="2:9" ht="16.5" customHeight="1" x14ac:dyDescent="0.25">
      <c r="B190" s="4"/>
      <c r="C190" s="4"/>
      <c r="D190" s="4"/>
      <c r="E190" s="4"/>
      <c r="F190" s="5" t="str">
        <f>IFERROR(IF(E190="","",VLOOKUP(E190,Catalogo!$B$10:$D$209,2,0)),"")</f>
        <v/>
      </c>
      <c r="G190" s="5" t="str">
        <f>IFERROR(IF(E190="","",VLOOKUP(E190,Catalogo!$B$10:$D$209,3,0)),"")</f>
        <v/>
      </c>
      <c r="H190" s="4"/>
      <c r="I190" s="4" t="str">
        <f>IF(E190="","",SUMPRODUCT((E$9:E190=E190)*(C$9:C190&lt;&gt;"Salida")*H$9:H190)-SUMPRODUCT((E$9:E190=E190)*(C$9:C190="Salida")*H$9:H190))</f>
        <v/>
      </c>
    </row>
    <row r="191" spans="2:9" ht="16.5" customHeight="1" x14ac:dyDescent="0.25">
      <c r="B191" s="6"/>
      <c r="C191" s="6"/>
      <c r="D191" s="6"/>
      <c r="E191" s="6"/>
      <c r="F191" s="7" t="str">
        <f>IFERROR(IF(E191="","",VLOOKUP(E191,Catalogo!$B$10:$D$209,2,0)),"")</f>
        <v/>
      </c>
      <c r="G191" s="7" t="str">
        <f>IFERROR(IF(E191="","",VLOOKUP(E191,Catalogo!$B$10:$D$209,3,0)),"")</f>
        <v/>
      </c>
      <c r="H191" s="6"/>
      <c r="I191" s="6" t="str">
        <f>IF(E191="","",SUMPRODUCT((E$9:E191=E191)*(C$9:C191&lt;&gt;"Salida")*H$9:H191)-SUMPRODUCT((E$9:E191=E191)*(C$9:C191="Salida")*H$9:H191))</f>
        <v/>
      </c>
    </row>
    <row r="192" spans="2:9" ht="16.5" customHeight="1" x14ac:dyDescent="0.25">
      <c r="B192" s="4"/>
      <c r="C192" s="4"/>
      <c r="D192" s="4"/>
      <c r="E192" s="4"/>
      <c r="F192" s="5" t="str">
        <f>IFERROR(IF(E192="","",VLOOKUP(E192,Catalogo!$B$10:$D$209,2,0)),"")</f>
        <v/>
      </c>
      <c r="G192" s="5" t="str">
        <f>IFERROR(IF(E192="","",VLOOKUP(E192,Catalogo!$B$10:$D$209,3,0)),"")</f>
        <v/>
      </c>
      <c r="H192" s="4"/>
      <c r="I192" s="4" t="str">
        <f>IF(E192="","",SUMPRODUCT((E$9:E192=E192)*(C$9:C192&lt;&gt;"Salida")*H$9:H192)-SUMPRODUCT((E$9:E192=E192)*(C$9:C192="Salida")*H$9:H192))</f>
        <v/>
      </c>
    </row>
    <row r="193" spans="2:9" ht="16.5" customHeight="1" x14ac:dyDescent="0.25">
      <c r="B193" s="6"/>
      <c r="C193" s="6"/>
      <c r="D193" s="6"/>
      <c r="E193" s="6"/>
      <c r="F193" s="7" t="str">
        <f>IFERROR(IF(E193="","",VLOOKUP(E193,Catalogo!$B$10:$D$209,2,0)),"")</f>
        <v/>
      </c>
      <c r="G193" s="7" t="str">
        <f>IFERROR(IF(E193="","",VLOOKUP(E193,Catalogo!$B$10:$D$209,3,0)),"")</f>
        <v/>
      </c>
      <c r="H193" s="6"/>
      <c r="I193" s="6" t="str">
        <f>IF(E193="","",SUMPRODUCT((E$9:E193=E193)*(C$9:C193&lt;&gt;"Salida")*H$9:H193)-SUMPRODUCT((E$9:E193=E193)*(C$9:C193="Salida")*H$9:H193))</f>
        <v/>
      </c>
    </row>
    <row r="194" spans="2:9" ht="16.5" customHeight="1" x14ac:dyDescent="0.25">
      <c r="B194" s="4"/>
      <c r="C194" s="4"/>
      <c r="D194" s="4"/>
      <c r="E194" s="4"/>
      <c r="F194" s="5" t="str">
        <f>IFERROR(IF(E194="","",VLOOKUP(E194,Catalogo!$B$10:$D$209,2,0)),"")</f>
        <v/>
      </c>
      <c r="G194" s="5" t="str">
        <f>IFERROR(IF(E194="","",VLOOKUP(E194,Catalogo!$B$10:$D$209,3,0)),"")</f>
        <v/>
      </c>
      <c r="H194" s="4"/>
      <c r="I194" s="4" t="str">
        <f>IF(E194="","",SUMPRODUCT((E$9:E194=E194)*(C$9:C194&lt;&gt;"Salida")*H$9:H194)-SUMPRODUCT((E$9:E194=E194)*(C$9:C194="Salida")*H$9:H194))</f>
        <v/>
      </c>
    </row>
    <row r="195" spans="2:9" ht="16.5" customHeight="1" x14ac:dyDescent="0.25">
      <c r="B195" s="6"/>
      <c r="C195" s="6"/>
      <c r="D195" s="6"/>
      <c r="E195" s="6"/>
      <c r="F195" s="7" t="str">
        <f>IFERROR(IF(E195="","",VLOOKUP(E195,Catalogo!$B$10:$D$209,2,0)),"")</f>
        <v/>
      </c>
      <c r="G195" s="7" t="str">
        <f>IFERROR(IF(E195="","",VLOOKUP(E195,Catalogo!$B$10:$D$209,3,0)),"")</f>
        <v/>
      </c>
      <c r="H195" s="6"/>
      <c r="I195" s="6" t="str">
        <f>IF(E195="","",SUMPRODUCT((E$9:E195=E195)*(C$9:C195&lt;&gt;"Salida")*H$9:H195)-SUMPRODUCT((E$9:E195=E195)*(C$9:C195="Salida")*H$9:H195))</f>
        <v/>
      </c>
    </row>
    <row r="196" spans="2:9" ht="16.5" customHeight="1" x14ac:dyDescent="0.25">
      <c r="B196" s="4"/>
      <c r="C196" s="4"/>
      <c r="D196" s="4"/>
      <c r="E196" s="4"/>
      <c r="F196" s="5" t="str">
        <f>IFERROR(IF(E196="","",VLOOKUP(E196,Catalogo!$B$10:$D$209,2,0)),"")</f>
        <v/>
      </c>
      <c r="G196" s="5" t="str">
        <f>IFERROR(IF(E196="","",VLOOKUP(E196,Catalogo!$B$10:$D$209,3,0)),"")</f>
        <v/>
      </c>
      <c r="H196" s="4"/>
      <c r="I196" s="4" t="str">
        <f>IF(E196="","",SUMPRODUCT((E$9:E196=E196)*(C$9:C196&lt;&gt;"Salida")*H$9:H196)-SUMPRODUCT((E$9:E196=E196)*(C$9:C196="Salida")*H$9:H196))</f>
        <v/>
      </c>
    </row>
    <row r="197" spans="2:9" ht="16.5" customHeight="1" x14ac:dyDescent="0.25">
      <c r="B197" s="6"/>
      <c r="C197" s="6"/>
      <c r="D197" s="6"/>
      <c r="E197" s="6"/>
      <c r="F197" s="7" t="str">
        <f>IFERROR(IF(E197="","",VLOOKUP(E197,Catalogo!$B$10:$D$209,2,0)),"")</f>
        <v/>
      </c>
      <c r="G197" s="7" t="str">
        <f>IFERROR(IF(E197="","",VLOOKUP(E197,Catalogo!$B$10:$D$209,3,0)),"")</f>
        <v/>
      </c>
      <c r="H197" s="6"/>
      <c r="I197" s="6" t="str">
        <f>IF(E197="","",SUMPRODUCT((E$9:E197=E197)*(C$9:C197&lt;&gt;"Salida")*H$9:H197)-SUMPRODUCT((E$9:E197=E197)*(C$9:C197="Salida")*H$9:H197))</f>
        <v/>
      </c>
    </row>
    <row r="198" spans="2:9" ht="16.5" customHeight="1" x14ac:dyDescent="0.25">
      <c r="B198" s="4"/>
      <c r="C198" s="4"/>
      <c r="D198" s="4"/>
      <c r="E198" s="4"/>
      <c r="F198" s="5" t="str">
        <f>IFERROR(IF(E198="","",VLOOKUP(E198,Catalogo!$B$10:$D$209,2,0)),"")</f>
        <v/>
      </c>
      <c r="G198" s="5" t="str">
        <f>IFERROR(IF(E198="","",VLOOKUP(E198,Catalogo!$B$10:$D$209,3,0)),"")</f>
        <v/>
      </c>
      <c r="H198" s="4"/>
      <c r="I198" s="4" t="str">
        <f>IF(E198="","",SUMPRODUCT((E$9:E198=E198)*(C$9:C198&lt;&gt;"Salida")*H$9:H198)-SUMPRODUCT((E$9:E198=E198)*(C$9:C198="Salida")*H$9:H198))</f>
        <v/>
      </c>
    </row>
    <row r="199" spans="2:9" ht="16.5" customHeight="1" x14ac:dyDescent="0.25">
      <c r="B199" s="6"/>
      <c r="C199" s="6"/>
      <c r="D199" s="6"/>
      <c r="E199" s="6"/>
      <c r="F199" s="7" t="str">
        <f>IFERROR(IF(E199="","",VLOOKUP(E199,Catalogo!$B$10:$D$209,2,0)),"")</f>
        <v/>
      </c>
      <c r="G199" s="7" t="str">
        <f>IFERROR(IF(E199="","",VLOOKUP(E199,Catalogo!$B$10:$D$209,3,0)),"")</f>
        <v/>
      </c>
      <c r="H199" s="6"/>
      <c r="I199" s="6" t="str">
        <f>IF(E199="","",SUMPRODUCT((E$9:E199=E199)*(C$9:C199&lt;&gt;"Salida")*H$9:H199)-SUMPRODUCT((E$9:E199=E199)*(C$9:C199="Salida")*H$9:H199))</f>
        <v/>
      </c>
    </row>
    <row r="200" spans="2:9" ht="16.5" customHeight="1" x14ac:dyDescent="0.25">
      <c r="B200" s="4"/>
      <c r="C200" s="4"/>
      <c r="D200" s="4"/>
      <c r="E200" s="4"/>
      <c r="F200" s="5" t="str">
        <f>IFERROR(IF(E200="","",VLOOKUP(E200,Catalogo!$B$10:$D$209,2,0)),"")</f>
        <v/>
      </c>
      <c r="G200" s="5" t="str">
        <f>IFERROR(IF(E200="","",VLOOKUP(E200,Catalogo!$B$10:$D$209,3,0)),"")</f>
        <v/>
      </c>
      <c r="H200" s="4"/>
      <c r="I200" s="4" t="str">
        <f>IF(E200="","",SUMPRODUCT((E$9:E200=E200)*(C$9:C200&lt;&gt;"Salida")*H$9:H200)-SUMPRODUCT((E$9:E200=E200)*(C$9:C200="Salida")*H$9:H200))</f>
        <v/>
      </c>
    </row>
    <row r="201" spans="2:9" ht="16.5" customHeight="1" x14ac:dyDescent="0.25">
      <c r="B201" s="6"/>
      <c r="C201" s="6"/>
      <c r="D201" s="6"/>
      <c r="E201" s="6"/>
      <c r="F201" s="7" t="str">
        <f>IFERROR(IF(E201="","",VLOOKUP(E201,Catalogo!$B$10:$D$209,2,0)),"")</f>
        <v/>
      </c>
      <c r="G201" s="7" t="str">
        <f>IFERROR(IF(E201="","",VLOOKUP(E201,Catalogo!$B$10:$D$209,3,0)),"")</f>
        <v/>
      </c>
      <c r="H201" s="6"/>
      <c r="I201" s="6" t="str">
        <f>IF(E201="","",SUMPRODUCT((E$9:E201=E201)*(C$9:C201&lt;&gt;"Salida")*H$9:H201)-SUMPRODUCT((E$9:E201=E201)*(C$9:C201="Salida")*H$9:H201))</f>
        <v/>
      </c>
    </row>
    <row r="202" spans="2:9" ht="16.5" customHeight="1" x14ac:dyDescent="0.25">
      <c r="B202" s="4"/>
      <c r="C202" s="4"/>
      <c r="D202" s="4"/>
      <c r="E202" s="4"/>
      <c r="F202" s="5" t="str">
        <f>IFERROR(IF(E202="","",VLOOKUP(E202,Catalogo!$B$10:$D$209,2,0)),"")</f>
        <v/>
      </c>
      <c r="G202" s="5" t="str">
        <f>IFERROR(IF(E202="","",VLOOKUP(E202,Catalogo!$B$10:$D$209,3,0)),"")</f>
        <v/>
      </c>
      <c r="H202" s="4"/>
      <c r="I202" s="4" t="str">
        <f>IF(E202="","",SUMPRODUCT((E$9:E202=E202)*(C$9:C202&lt;&gt;"Salida")*H$9:H202)-SUMPRODUCT((E$9:E202=E202)*(C$9:C202="Salida")*H$9:H202))</f>
        <v/>
      </c>
    </row>
    <row r="203" spans="2:9" ht="16.5" customHeight="1" x14ac:dyDescent="0.25">
      <c r="B203" s="6"/>
      <c r="C203" s="6"/>
      <c r="D203" s="6"/>
      <c r="E203" s="6"/>
      <c r="F203" s="7" t="str">
        <f>IFERROR(IF(E203="","",VLOOKUP(E203,Catalogo!$B$10:$D$209,2,0)),"")</f>
        <v/>
      </c>
      <c r="G203" s="7" t="str">
        <f>IFERROR(IF(E203="","",VLOOKUP(E203,Catalogo!$B$10:$D$209,3,0)),"")</f>
        <v/>
      </c>
      <c r="H203" s="6"/>
      <c r="I203" s="6" t="str">
        <f>IF(E203="","",SUMPRODUCT((E$9:E203=E203)*(C$9:C203&lt;&gt;"Salida")*H$9:H203)-SUMPRODUCT((E$9:E203=E203)*(C$9:C203="Salida")*H$9:H203))</f>
        <v/>
      </c>
    </row>
    <row r="204" spans="2:9" ht="16.5" customHeight="1" x14ac:dyDescent="0.25">
      <c r="B204" s="4"/>
      <c r="C204" s="4"/>
      <c r="D204" s="4"/>
      <c r="E204" s="4"/>
      <c r="F204" s="5" t="str">
        <f>IFERROR(IF(E204="","",VLOOKUP(E204,Catalogo!$B$10:$D$209,2,0)),"")</f>
        <v/>
      </c>
      <c r="G204" s="5" t="str">
        <f>IFERROR(IF(E204="","",VLOOKUP(E204,Catalogo!$B$10:$D$209,3,0)),"")</f>
        <v/>
      </c>
      <c r="H204" s="4"/>
      <c r="I204" s="4" t="str">
        <f>IF(E204="","",SUMPRODUCT((E$9:E204=E204)*(C$9:C204&lt;&gt;"Salida")*H$9:H204)-SUMPRODUCT((E$9:E204=E204)*(C$9:C204="Salida")*H$9:H204))</f>
        <v/>
      </c>
    </row>
    <row r="205" spans="2:9" ht="16.5" customHeight="1" x14ac:dyDescent="0.25">
      <c r="B205" s="6"/>
      <c r="C205" s="6"/>
      <c r="D205" s="6"/>
      <c r="E205" s="6"/>
      <c r="F205" s="7" t="str">
        <f>IFERROR(IF(E205="","",VLOOKUP(E205,Catalogo!$B$10:$D$209,2,0)),"")</f>
        <v/>
      </c>
      <c r="G205" s="7" t="str">
        <f>IFERROR(IF(E205="","",VLOOKUP(E205,Catalogo!$B$10:$D$209,3,0)),"")</f>
        <v/>
      </c>
      <c r="H205" s="6"/>
      <c r="I205" s="6" t="str">
        <f>IF(E205="","",SUMPRODUCT((E$9:E205=E205)*(C$9:C205&lt;&gt;"Salida")*H$9:H205)-SUMPRODUCT((E$9:E205=E205)*(C$9:C205="Salida")*H$9:H205))</f>
        <v/>
      </c>
    </row>
    <row r="206" spans="2:9" ht="16.5" customHeight="1" x14ac:dyDescent="0.25">
      <c r="B206" s="4"/>
      <c r="C206" s="4"/>
      <c r="D206" s="4"/>
      <c r="E206" s="4"/>
      <c r="F206" s="5" t="str">
        <f>IFERROR(IF(E206="","",VLOOKUP(E206,Catalogo!$B$10:$D$209,2,0)),"")</f>
        <v/>
      </c>
      <c r="G206" s="5" t="str">
        <f>IFERROR(IF(E206="","",VLOOKUP(E206,Catalogo!$B$10:$D$209,3,0)),"")</f>
        <v/>
      </c>
      <c r="H206" s="4"/>
      <c r="I206" s="4" t="str">
        <f>IF(E206="","",SUMPRODUCT((E$9:E206=E206)*(C$9:C206&lt;&gt;"Salida")*H$9:H206)-SUMPRODUCT((E$9:E206=E206)*(C$9:C206="Salida")*H$9:H206))</f>
        <v/>
      </c>
    </row>
    <row r="207" spans="2:9" ht="16.5" customHeight="1" x14ac:dyDescent="0.25">
      <c r="B207" s="6"/>
      <c r="C207" s="6"/>
      <c r="D207" s="6"/>
      <c r="E207" s="6"/>
      <c r="F207" s="7" t="str">
        <f>IFERROR(IF(E207="","",VLOOKUP(E207,Catalogo!$B$10:$D$209,2,0)),"")</f>
        <v/>
      </c>
      <c r="G207" s="7" t="str">
        <f>IFERROR(IF(E207="","",VLOOKUP(E207,Catalogo!$B$10:$D$209,3,0)),"")</f>
        <v/>
      </c>
      <c r="H207" s="6"/>
      <c r="I207" s="6" t="str">
        <f>IF(E207="","",SUMPRODUCT((E$9:E207=E207)*(C$9:C207&lt;&gt;"Salida")*H$9:H207)-SUMPRODUCT((E$9:E207=E207)*(C$9:C207="Salida")*H$9:H207))</f>
        <v/>
      </c>
    </row>
    <row r="208" spans="2:9" ht="16.5" customHeight="1" x14ac:dyDescent="0.25">
      <c r="B208" s="4"/>
      <c r="C208" s="4"/>
      <c r="D208" s="4"/>
      <c r="E208" s="4"/>
      <c r="F208" s="5" t="str">
        <f>IFERROR(IF(E208="","",VLOOKUP(E208,Catalogo!$B$10:$D$209,2,0)),"")</f>
        <v/>
      </c>
      <c r="G208" s="5" t="str">
        <f>IFERROR(IF(E208="","",VLOOKUP(E208,Catalogo!$B$10:$D$209,3,0)),"")</f>
        <v/>
      </c>
      <c r="H208" s="4"/>
      <c r="I208" s="4" t="str">
        <f>IF(E208="","",SUMPRODUCT((E$9:E208=E208)*(C$9:C208&lt;&gt;"Salida")*H$9:H208)-SUMPRODUCT((E$9:E208=E208)*(C$9:C208="Salida")*H$9:H208))</f>
        <v/>
      </c>
    </row>
    <row r="209" spans="2:9" ht="16.5" customHeight="1" x14ac:dyDescent="0.25">
      <c r="B209" s="6"/>
      <c r="C209" s="6"/>
      <c r="D209" s="6"/>
      <c r="E209" s="6"/>
      <c r="F209" s="7" t="str">
        <f>IFERROR(IF(E209="","",VLOOKUP(E209,Catalogo!$B$10:$D$209,2,0)),"")</f>
        <v/>
      </c>
      <c r="G209" s="7" t="str">
        <f>IFERROR(IF(E209="","",VLOOKUP(E209,Catalogo!$B$10:$D$209,3,0)),"")</f>
        <v/>
      </c>
      <c r="H209" s="6"/>
      <c r="I209" s="6" t="str">
        <f>IF(E209="","",SUMPRODUCT((E$9:E209=E209)*(C$9:C209&lt;&gt;"Salida")*H$9:H209)-SUMPRODUCT((E$9:E209=E209)*(C$9:C209="Salida")*H$9:H209))</f>
        <v/>
      </c>
    </row>
    <row r="210" spans="2:9" ht="16.5" customHeight="1" x14ac:dyDescent="0.25">
      <c r="B210" s="4"/>
      <c r="C210" s="4"/>
      <c r="D210" s="4"/>
      <c r="E210" s="4"/>
      <c r="F210" s="5" t="str">
        <f>IFERROR(IF(E210="","",VLOOKUP(E210,Catalogo!$B$10:$D$209,2,0)),"")</f>
        <v/>
      </c>
      <c r="G210" s="5" t="str">
        <f>IFERROR(IF(E210="","",VLOOKUP(E210,Catalogo!$B$10:$D$209,3,0)),"")</f>
        <v/>
      </c>
      <c r="H210" s="4"/>
      <c r="I210" s="4" t="str">
        <f>IF(E210="","",SUMPRODUCT((E$9:E210=E210)*(C$9:C210&lt;&gt;"Salida")*H$9:H210)-SUMPRODUCT((E$9:E210=E210)*(C$9:C210="Salida")*H$9:H210))</f>
        <v/>
      </c>
    </row>
    <row r="211" spans="2:9" ht="16.5" customHeight="1" x14ac:dyDescent="0.25">
      <c r="B211" s="6"/>
      <c r="C211" s="6"/>
      <c r="D211" s="6"/>
      <c r="E211" s="6"/>
      <c r="F211" s="7" t="str">
        <f>IFERROR(IF(E211="","",VLOOKUP(E211,Catalogo!$B$10:$D$209,2,0)),"")</f>
        <v/>
      </c>
      <c r="G211" s="7" t="str">
        <f>IFERROR(IF(E211="","",VLOOKUP(E211,Catalogo!$B$10:$D$209,3,0)),"")</f>
        <v/>
      </c>
      <c r="H211" s="6"/>
      <c r="I211" s="6" t="str">
        <f>IF(E211="","",SUMPRODUCT((E$9:E211=E211)*(C$9:C211&lt;&gt;"Salida")*H$9:H211)-SUMPRODUCT((E$9:E211=E211)*(C$9:C211="Salida")*H$9:H211))</f>
        <v/>
      </c>
    </row>
    <row r="212" spans="2:9" ht="16.5" customHeight="1" x14ac:dyDescent="0.25">
      <c r="B212" s="4"/>
      <c r="C212" s="4"/>
      <c r="D212" s="4"/>
      <c r="E212" s="4"/>
      <c r="F212" s="5" t="str">
        <f>IFERROR(IF(E212="","",VLOOKUP(E212,Catalogo!$B$10:$D$209,2,0)),"")</f>
        <v/>
      </c>
      <c r="G212" s="5" t="str">
        <f>IFERROR(IF(E212="","",VLOOKUP(E212,Catalogo!$B$10:$D$209,3,0)),"")</f>
        <v/>
      </c>
      <c r="H212" s="4"/>
      <c r="I212" s="4" t="str">
        <f>IF(E212="","",SUMPRODUCT((E$9:E212=E212)*(C$9:C212&lt;&gt;"Salida")*H$9:H212)-SUMPRODUCT((E$9:E212=E212)*(C$9:C212="Salida")*H$9:H212))</f>
        <v/>
      </c>
    </row>
    <row r="213" spans="2:9" ht="16.5" customHeight="1" x14ac:dyDescent="0.25">
      <c r="B213" s="6"/>
      <c r="C213" s="6"/>
      <c r="D213" s="6"/>
      <c r="E213" s="6"/>
      <c r="F213" s="7" t="str">
        <f>IFERROR(IF(E213="","",VLOOKUP(E213,Catalogo!$B$10:$D$209,2,0)),"")</f>
        <v/>
      </c>
      <c r="G213" s="7" t="str">
        <f>IFERROR(IF(E213="","",VLOOKUP(E213,Catalogo!$B$10:$D$209,3,0)),"")</f>
        <v/>
      </c>
      <c r="H213" s="6"/>
      <c r="I213" s="6" t="str">
        <f>IF(E213="","",SUMPRODUCT((E$9:E213=E213)*(C$9:C213&lt;&gt;"Salida")*H$9:H213)-SUMPRODUCT((E$9:E213=E213)*(C$9:C213="Salida")*H$9:H213))</f>
        <v/>
      </c>
    </row>
    <row r="214" spans="2:9" ht="16.5" customHeight="1" x14ac:dyDescent="0.25">
      <c r="B214" s="4"/>
      <c r="C214" s="4"/>
      <c r="D214" s="4"/>
      <c r="E214" s="4"/>
      <c r="F214" s="5" t="str">
        <f>IFERROR(IF(E214="","",VLOOKUP(E214,Catalogo!$B$10:$D$209,2,0)),"")</f>
        <v/>
      </c>
      <c r="G214" s="5" t="str">
        <f>IFERROR(IF(E214="","",VLOOKUP(E214,Catalogo!$B$10:$D$209,3,0)),"")</f>
        <v/>
      </c>
      <c r="H214" s="4"/>
      <c r="I214" s="4" t="str">
        <f>IF(E214="","",SUMPRODUCT((E$9:E214=E214)*(C$9:C214&lt;&gt;"Salida")*H$9:H214)-SUMPRODUCT((E$9:E214=E214)*(C$9:C214="Salida")*H$9:H214))</f>
        <v/>
      </c>
    </row>
    <row r="215" spans="2:9" ht="16.5" customHeight="1" x14ac:dyDescent="0.25">
      <c r="B215" s="6"/>
      <c r="C215" s="6"/>
      <c r="D215" s="6"/>
      <c r="E215" s="6"/>
      <c r="F215" s="7" t="str">
        <f>IFERROR(IF(E215="","",VLOOKUP(E215,Catalogo!$B$10:$D$209,2,0)),"")</f>
        <v/>
      </c>
      <c r="G215" s="7" t="str">
        <f>IFERROR(IF(E215="","",VLOOKUP(E215,Catalogo!$B$10:$D$209,3,0)),"")</f>
        <v/>
      </c>
      <c r="H215" s="6"/>
      <c r="I215" s="6" t="str">
        <f>IF(E215="","",SUMPRODUCT((E$9:E215=E215)*(C$9:C215&lt;&gt;"Salida")*H$9:H215)-SUMPRODUCT((E$9:E215=E215)*(C$9:C215="Salida")*H$9:H215))</f>
        <v/>
      </c>
    </row>
    <row r="216" spans="2:9" ht="16.5" customHeight="1" x14ac:dyDescent="0.25">
      <c r="B216" s="4"/>
      <c r="C216" s="4"/>
      <c r="D216" s="4"/>
      <c r="E216" s="4"/>
      <c r="F216" s="5" t="str">
        <f>IFERROR(IF(E216="","",VLOOKUP(E216,Catalogo!$B$10:$D$209,2,0)),"")</f>
        <v/>
      </c>
      <c r="G216" s="5" t="str">
        <f>IFERROR(IF(E216="","",VLOOKUP(E216,Catalogo!$B$10:$D$209,3,0)),"")</f>
        <v/>
      </c>
      <c r="H216" s="4"/>
      <c r="I216" s="4" t="str">
        <f>IF(E216="","",SUMPRODUCT((E$9:E216=E216)*(C$9:C216&lt;&gt;"Salida")*H$9:H216)-SUMPRODUCT((E$9:E216=E216)*(C$9:C216="Salida")*H$9:H216))</f>
        <v/>
      </c>
    </row>
    <row r="217" spans="2:9" ht="16.5" customHeight="1" x14ac:dyDescent="0.25">
      <c r="B217" s="6"/>
      <c r="C217" s="6"/>
      <c r="D217" s="6"/>
      <c r="E217" s="6"/>
      <c r="F217" s="7" t="str">
        <f>IFERROR(IF(E217="","",VLOOKUP(E217,Catalogo!$B$10:$D$209,2,0)),"")</f>
        <v/>
      </c>
      <c r="G217" s="7" t="str">
        <f>IFERROR(IF(E217="","",VLOOKUP(E217,Catalogo!$B$10:$D$209,3,0)),"")</f>
        <v/>
      </c>
      <c r="H217" s="6"/>
      <c r="I217" s="6" t="str">
        <f>IF(E217="","",SUMPRODUCT((E$9:E217=E217)*(C$9:C217&lt;&gt;"Salida")*H$9:H217)-SUMPRODUCT((E$9:E217=E217)*(C$9:C217="Salida")*H$9:H217))</f>
        <v/>
      </c>
    </row>
    <row r="218" spans="2:9" ht="16.5" customHeight="1" x14ac:dyDescent="0.25">
      <c r="B218" s="4"/>
      <c r="C218" s="4"/>
      <c r="D218" s="4"/>
      <c r="E218" s="4"/>
      <c r="F218" s="5" t="str">
        <f>IFERROR(IF(E218="","",VLOOKUP(E218,Catalogo!$B$10:$D$209,2,0)),"")</f>
        <v/>
      </c>
      <c r="G218" s="5" t="str">
        <f>IFERROR(IF(E218="","",VLOOKUP(E218,Catalogo!$B$10:$D$209,3,0)),"")</f>
        <v/>
      </c>
      <c r="H218" s="4"/>
      <c r="I218" s="4" t="str">
        <f>IF(E218="","",SUMPRODUCT((E$9:E218=E218)*(C$9:C218&lt;&gt;"Salida")*H$9:H218)-SUMPRODUCT((E$9:E218=E218)*(C$9:C218="Salida")*H$9:H218))</f>
        <v/>
      </c>
    </row>
    <row r="219" spans="2:9" ht="16.5" customHeight="1" x14ac:dyDescent="0.25">
      <c r="B219" s="6"/>
      <c r="C219" s="6"/>
      <c r="D219" s="6"/>
      <c r="E219" s="6"/>
      <c r="F219" s="7" t="str">
        <f>IFERROR(IF(E219="","",VLOOKUP(E219,Catalogo!$B$10:$D$209,2,0)),"")</f>
        <v/>
      </c>
      <c r="G219" s="7" t="str">
        <f>IFERROR(IF(E219="","",VLOOKUP(E219,Catalogo!$B$10:$D$209,3,0)),"")</f>
        <v/>
      </c>
      <c r="H219" s="6"/>
      <c r="I219" s="6" t="str">
        <f>IF(E219="","",SUMPRODUCT((E$9:E219=E219)*(C$9:C219&lt;&gt;"Salida")*H$9:H219)-SUMPRODUCT((E$9:E219=E219)*(C$9:C219="Salida")*H$9:H219))</f>
        <v/>
      </c>
    </row>
    <row r="220" spans="2:9" ht="16.5" customHeight="1" x14ac:dyDescent="0.25">
      <c r="B220" s="4"/>
      <c r="C220" s="4"/>
      <c r="D220" s="4"/>
      <c r="E220" s="4"/>
      <c r="F220" s="5" t="str">
        <f>IFERROR(IF(E220="","",VLOOKUP(E220,Catalogo!$B$10:$D$209,2,0)),"")</f>
        <v/>
      </c>
      <c r="G220" s="5" t="str">
        <f>IFERROR(IF(E220="","",VLOOKUP(E220,Catalogo!$B$10:$D$209,3,0)),"")</f>
        <v/>
      </c>
      <c r="H220" s="4"/>
      <c r="I220" s="4" t="str">
        <f>IF(E220="","",SUMPRODUCT((E$9:E220=E220)*(C$9:C220&lt;&gt;"Salida")*H$9:H220)-SUMPRODUCT((E$9:E220=E220)*(C$9:C220="Salida")*H$9:H220))</f>
        <v/>
      </c>
    </row>
    <row r="221" spans="2:9" ht="16.5" customHeight="1" x14ac:dyDescent="0.25">
      <c r="B221" s="6"/>
      <c r="C221" s="6"/>
      <c r="D221" s="6"/>
      <c r="E221" s="6"/>
      <c r="F221" s="7" t="str">
        <f>IFERROR(IF(E221="","",VLOOKUP(E221,Catalogo!$B$10:$D$209,2,0)),"")</f>
        <v/>
      </c>
      <c r="G221" s="7" t="str">
        <f>IFERROR(IF(E221="","",VLOOKUP(E221,Catalogo!$B$10:$D$209,3,0)),"")</f>
        <v/>
      </c>
      <c r="H221" s="6"/>
      <c r="I221" s="6" t="str">
        <f>IF(E221="","",SUMPRODUCT((E$9:E221=E221)*(C$9:C221&lt;&gt;"Salida")*H$9:H221)-SUMPRODUCT((E$9:E221=E221)*(C$9:C221="Salida")*H$9:H221))</f>
        <v/>
      </c>
    </row>
    <row r="222" spans="2:9" ht="16.5" customHeight="1" x14ac:dyDescent="0.25">
      <c r="B222" s="4"/>
      <c r="C222" s="4"/>
      <c r="D222" s="4"/>
      <c r="E222" s="4"/>
      <c r="F222" s="5" t="str">
        <f>IFERROR(IF(E222="","",VLOOKUP(E222,Catalogo!$B$10:$D$209,2,0)),"")</f>
        <v/>
      </c>
      <c r="G222" s="5" t="str">
        <f>IFERROR(IF(E222="","",VLOOKUP(E222,Catalogo!$B$10:$D$209,3,0)),"")</f>
        <v/>
      </c>
      <c r="H222" s="4"/>
      <c r="I222" s="4" t="str">
        <f>IF(E222="","",SUMPRODUCT((E$9:E222=E222)*(C$9:C222&lt;&gt;"Salida")*H$9:H222)-SUMPRODUCT((E$9:E222=E222)*(C$9:C222="Salida")*H$9:H222))</f>
        <v/>
      </c>
    </row>
    <row r="223" spans="2:9" ht="16.5" customHeight="1" x14ac:dyDescent="0.25">
      <c r="B223" s="6"/>
      <c r="C223" s="6"/>
      <c r="D223" s="6"/>
      <c r="E223" s="6"/>
      <c r="F223" s="7" t="str">
        <f>IFERROR(IF(E223="","",VLOOKUP(E223,Catalogo!$B$10:$D$209,2,0)),"")</f>
        <v/>
      </c>
      <c r="G223" s="7" t="str">
        <f>IFERROR(IF(E223="","",VLOOKUP(E223,Catalogo!$B$10:$D$209,3,0)),"")</f>
        <v/>
      </c>
      <c r="H223" s="6"/>
      <c r="I223" s="6" t="str">
        <f>IF(E223="","",SUMPRODUCT((E$9:E223=E223)*(C$9:C223&lt;&gt;"Salida")*H$9:H223)-SUMPRODUCT((E$9:E223=E223)*(C$9:C223="Salida")*H$9:H223))</f>
        <v/>
      </c>
    </row>
    <row r="224" spans="2:9" ht="16.5" customHeight="1" x14ac:dyDescent="0.25">
      <c r="B224" s="4"/>
      <c r="C224" s="4"/>
      <c r="D224" s="4"/>
      <c r="E224" s="4"/>
      <c r="F224" s="5" t="str">
        <f>IFERROR(IF(E224="","",VLOOKUP(E224,Catalogo!$B$10:$D$209,2,0)),"")</f>
        <v/>
      </c>
      <c r="G224" s="5" t="str">
        <f>IFERROR(IF(E224="","",VLOOKUP(E224,Catalogo!$B$10:$D$209,3,0)),"")</f>
        <v/>
      </c>
      <c r="H224" s="4"/>
      <c r="I224" s="4" t="str">
        <f>IF(E224="","",SUMPRODUCT((E$9:E224=E224)*(C$9:C224&lt;&gt;"Salida")*H$9:H224)-SUMPRODUCT((E$9:E224=E224)*(C$9:C224="Salida")*H$9:H224))</f>
        <v/>
      </c>
    </row>
    <row r="225" spans="2:9" ht="16.5" customHeight="1" x14ac:dyDescent="0.25">
      <c r="B225" s="6"/>
      <c r="C225" s="6"/>
      <c r="D225" s="6"/>
      <c r="E225" s="6"/>
      <c r="F225" s="7" t="str">
        <f>IFERROR(IF(E225="","",VLOOKUP(E225,Catalogo!$B$10:$D$209,2,0)),"")</f>
        <v/>
      </c>
      <c r="G225" s="7" t="str">
        <f>IFERROR(IF(E225="","",VLOOKUP(E225,Catalogo!$B$10:$D$209,3,0)),"")</f>
        <v/>
      </c>
      <c r="H225" s="6"/>
      <c r="I225" s="6" t="str">
        <f>IF(E225="","",SUMPRODUCT((E$9:E225=E225)*(C$9:C225&lt;&gt;"Salida")*H$9:H225)-SUMPRODUCT((E$9:E225=E225)*(C$9:C225="Salida")*H$9:H225))</f>
        <v/>
      </c>
    </row>
    <row r="226" spans="2:9" ht="16.5" customHeight="1" x14ac:dyDescent="0.25">
      <c r="B226" s="4"/>
      <c r="C226" s="4"/>
      <c r="D226" s="4"/>
      <c r="E226" s="4"/>
      <c r="F226" s="5" t="str">
        <f>IFERROR(IF(E226="","",VLOOKUP(E226,Catalogo!$B$10:$D$209,2,0)),"")</f>
        <v/>
      </c>
      <c r="G226" s="5" t="str">
        <f>IFERROR(IF(E226="","",VLOOKUP(E226,Catalogo!$B$10:$D$209,3,0)),"")</f>
        <v/>
      </c>
      <c r="H226" s="4"/>
      <c r="I226" s="4" t="str">
        <f>IF(E226="","",SUMPRODUCT((E$9:E226=E226)*(C$9:C226&lt;&gt;"Salida")*H$9:H226)-SUMPRODUCT((E$9:E226=E226)*(C$9:C226="Salida")*H$9:H226))</f>
        <v/>
      </c>
    </row>
    <row r="227" spans="2:9" ht="16.5" customHeight="1" x14ac:dyDescent="0.25">
      <c r="B227" s="6"/>
      <c r="C227" s="6"/>
      <c r="D227" s="6"/>
      <c r="E227" s="6"/>
      <c r="F227" s="7" t="str">
        <f>IFERROR(IF(E227="","",VLOOKUP(E227,Catalogo!$B$10:$D$209,2,0)),"")</f>
        <v/>
      </c>
      <c r="G227" s="7" t="str">
        <f>IFERROR(IF(E227="","",VLOOKUP(E227,Catalogo!$B$10:$D$209,3,0)),"")</f>
        <v/>
      </c>
      <c r="H227" s="6"/>
      <c r="I227" s="6" t="str">
        <f>IF(E227="","",SUMPRODUCT((E$9:E227=E227)*(C$9:C227&lt;&gt;"Salida")*H$9:H227)-SUMPRODUCT((E$9:E227=E227)*(C$9:C227="Salida")*H$9:H227))</f>
        <v/>
      </c>
    </row>
    <row r="228" spans="2:9" ht="16.5" customHeight="1" x14ac:dyDescent="0.25">
      <c r="B228" s="4"/>
      <c r="C228" s="4"/>
      <c r="D228" s="4"/>
      <c r="E228" s="4"/>
      <c r="F228" s="5" t="str">
        <f>IFERROR(IF(E228="","",VLOOKUP(E228,Catalogo!$B$10:$D$209,2,0)),"")</f>
        <v/>
      </c>
      <c r="G228" s="5" t="str">
        <f>IFERROR(IF(E228="","",VLOOKUP(E228,Catalogo!$B$10:$D$209,3,0)),"")</f>
        <v/>
      </c>
      <c r="H228" s="4"/>
      <c r="I228" s="4" t="str">
        <f>IF(E228="","",SUMPRODUCT((E$9:E228=E228)*(C$9:C228&lt;&gt;"Salida")*H$9:H228)-SUMPRODUCT((E$9:E228=E228)*(C$9:C228="Salida")*H$9:H228))</f>
        <v/>
      </c>
    </row>
    <row r="229" spans="2:9" ht="16.5" customHeight="1" x14ac:dyDescent="0.25">
      <c r="B229" s="6"/>
      <c r="C229" s="6"/>
      <c r="D229" s="6"/>
      <c r="E229" s="6"/>
      <c r="F229" s="7" t="str">
        <f>IFERROR(IF(E229="","",VLOOKUP(E229,Catalogo!$B$10:$D$209,2,0)),"")</f>
        <v/>
      </c>
      <c r="G229" s="7" t="str">
        <f>IFERROR(IF(E229="","",VLOOKUP(E229,Catalogo!$B$10:$D$209,3,0)),"")</f>
        <v/>
      </c>
      <c r="H229" s="6"/>
      <c r="I229" s="6" t="str">
        <f>IF(E229="","",SUMPRODUCT((E$9:E229=E229)*(C$9:C229&lt;&gt;"Salida")*H$9:H229)-SUMPRODUCT((E$9:E229=E229)*(C$9:C229="Salida")*H$9:H229))</f>
        <v/>
      </c>
    </row>
    <row r="230" spans="2:9" ht="16.5" customHeight="1" x14ac:dyDescent="0.25">
      <c r="B230" s="4"/>
      <c r="C230" s="4"/>
      <c r="D230" s="4"/>
      <c r="E230" s="4"/>
      <c r="F230" s="5" t="str">
        <f>IFERROR(IF(E230="","",VLOOKUP(E230,Catalogo!$B$10:$D$209,2,0)),"")</f>
        <v/>
      </c>
      <c r="G230" s="5" t="str">
        <f>IFERROR(IF(E230="","",VLOOKUP(E230,Catalogo!$B$10:$D$209,3,0)),"")</f>
        <v/>
      </c>
      <c r="H230" s="4"/>
      <c r="I230" s="4" t="str">
        <f>IF(E230="","",SUMPRODUCT((E$9:E230=E230)*(C$9:C230&lt;&gt;"Salida")*H$9:H230)-SUMPRODUCT((E$9:E230=E230)*(C$9:C230="Salida")*H$9:H230))</f>
        <v/>
      </c>
    </row>
    <row r="231" spans="2:9" ht="16.5" customHeight="1" x14ac:dyDescent="0.25">
      <c r="B231" s="6"/>
      <c r="C231" s="6"/>
      <c r="D231" s="6"/>
      <c r="E231" s="6"/>
      <c r="F231" s="7" t="str">
        <f>IFERROR(IF(E231="","",VLOOKUP(E231,Catalogo!$B$10:$D$209,2,0)),"")</f>
        <v/>
      </c>
      <c r="G231" s="7" t="str">
        <f>IFERROR(IF(E231="","",VLOOKUP(E231,Catalogo!$B$10:$D$209,3,0)),"")</f>
        <v/>
      </c>
      <c r="H231" s="6"/>
      <c r="I231" s="6" t="str">
        <f>IF(E231="","",SUMPRODUCT((E$9:E231=E231)*(C$9:C231&lt;&gt;"Salida")*H$9:H231)-SUMPRODUCT((E$9:E231=E231)*(C$9:C231="Salida")*H$9:H231))</f>
        <v/>
      </c>
    </row>
    <row r="232" spans="2:9" ht="16.5" customHeight="1" x14ac:dyDescent="0.25">
      <c r="B232" s="4"/>
      <c r="C232" s="4"/>
      <c r="D232" s="4"/>
      <c r="E232" s="4"/>
      <c r="F232" s="5" t="str">
        <f>IFERROR(IF(E232="","",VLOOKUP(E232,Catalogo!$B$10:$D$209,2,0)),"")</f>
        <v/>
      </c>
      <c r="G232" s="5" t="str">
        <f>IFERROR(IF(E232="","",VLOOKUP(E232,Catalogo!$B$10:$D$209,3,0)),"")</f>
        <v/>
      </c>
      <c r="H232" s="4"/>
      <c r="I232" s="4" t="str">
        <f>IF(E232="","",SUMPRODUCT((E$9:E232=E232)*(C$9:C232&lt;&gt;"Salida")*H$9:H232)-SUMPRODUCT((E$9:E232=E232)*(C$9:C232="Salida")*H$9:H232))</f>
        <v/>
      </c>
    </row>
    <row r="233" spans="2:9" ht="16.5" customHeight="1" x14ac:dyDescent="0.25">
      <c r="B233" s="6"/>
      <c r="C233" s="6"/>
      <c r="D233" s="6"/>
      <c r="E233" s="6"/>
      <c r="F233" s="7" t="str">
        <f>IFERROR(IF(E233="","",VLOOKUP(E233,Catalogo!$B$10:$D$209,2,0)),"")</f>
        <v/>
      </c>
      <c r="G233" s="7" t="str">
        <f>IFERROR(IF(E233="","",VLOOKUP(E233,Catalogo!$B$10:$D$209,3,0)),"")</f>
        <v/>
      </c>
      <c r="H233" s="6"/>
      <c r="I233" s="6" t="str">
        <f>IF(E233="","",SUMPRODUCT((E$9:E233=E233)*(C$9:C233&lt;&gt;"Salida")*H$9:H233)-SUMPRODUCT((E$9:E233=E233)*(C$9:C233="Salida")*H$9:H233))</f>
        <v/>
      </c>
    </row>
    <row r="234" spans="2:9" ht="16.5" customHeight="1" x14ac:dyDescent="0.25">
      <c r="B234" s="4"/>
      <c r="C234" s="4"/>
      <c r="D234" s="4"/>
      <c r="E234" s="4"/>
      <c r="F234" s="5" t="str">
        <f>IFERROR(IF(E234="","",VLOOKUP(E234,Catalogo!$B$10:$D$209,2,0)),"")</f>
        <v/>
      </c>
      <c r="G234" s="5" t="str">
        <f>IFERROR(IF(E234="","",VLOOKUP(E234,Catalogo!$B$10:$D$209,3,0)),"")</f>
        <v/>
      </c>
      <c r="H234" s="4"/>
      <c r="I234" s="4" t="str">
        <f>IF(E234="","",SUMPRODUCT((E$9:E234=E234)*(C$9:C234&lt;&gt;"Salida")*H$9:H234)-SUMPRODUCT((E$9:E234=E234)*(C$9:C234="Salida")*H$9:H234))</f>
        <v/>
      </c>
    </row>
    <row r="235" spans="2:9" ht="16.5" customHeight="1" x14ac:dyDescent="0.25">
      <c r="B235" s="6"/>
      <c r="C235" s="6"/>
      <c r="D235" s="6"/>
      <c r="E235" s="6"/>
      <c r="F235" s="7" t="str">
        <f>IFERROR(IF(E235="","",VLOOKUP(E235,Catalogo!$B$10:$D$209,2,0)),"")</f>
        <v/>
      </c>
      <c r="G235" s="7" t="str">
        <f>IFERROR(IF(E235="","",VLOOKUP(E235,Catalogo!$B$10:$D$209,3,0)),"")</f>
        <v/>
      </c>
      <c r="H235" s="6"/>
      <c r="I235" s="6" t="str">
        <f>IF(E235="","",SUMPRODUCT((E$9:E235=E235)*(C$9:C235&lt;&gt;"Salida")*H$9:H235)-SUMPRODUCT((E$9:E235=E235)*(C$9:C235="Salida")*H$9:H235))</f>
        <v/>
      </c>
    </row>
    <row r="236" spans="2:9" ht="16.5" customHeight="1" x14ac:dyDescent="0.25">
      <c r="B236" s="4"/>
      <c r="C236" s="4"/>
      <c r="D236" s="4"/>
      <c r="E236" s="4"/>
      <c r="F236" s="5" t="str">
        <f>IFERROR(IF(E236="","",VLOOKUP(E236,Catalogo!$B$10:$D$209,2,0)),"")</f>
        <v/>
      </c>
      <c r="G236" s="5" t="str">
        <f>IFERROR(IF(E236="","",VLOOKUP(E236,Catalogo!$B$10:$D$209,3,0)),"")</f>
        <v/>
      </c>
      <c r="H236" s="4"/>
      <c r="I236" s="4" t="str">
        <f>IF(E236="","",SUMPRODUCT((E$9:E236=E236)*(C$9:C236&lt;&gt;"Salida")*H$9:H236)-SUMPRODUCT((E$9:E236=E236)*(C$9:C236="Salida")*H$9:H236))</f>
        <v/>
      </c>
    </row>
    <row r="237" spans="2:9" ht="16.5" customHeight="1" x14ac:dyDescent="0.25">
      <c r="B237" s="6"/>
      <c r="C237" s="6"/>
      <c r="D237" s="6"/>
      <c r="E237" s="6"/>
      <c r="F237" s="7" t="str">
        <f>IFERROR(IF(E237="","",VLOOKUP(E237,Catalogo!$B$10:$D$209,2,0)),"")</f>
        <v/>
      </c>
      <c r="G237" s="7" t="str">
        <f>IFERROR(IF(E237="","",VLOOKUP(E237,Catalogo!$B$10:$D$209,3,0)),"")</f>
        <v/>
      </c>
      <c r="H237" s="6"/>
      <c r="I237" s="6" t="str">
        <f>IF(E237="","",SUMPRODUCT((E$9:E237=E237)*(C$9:C237&lt;&gt;"Salida")*H$9:H237)-SUMPRODUCT((E$9:E237=E237)*(C$9:C237="Salida")*H$9:H237))</f>
        <v/>
      </c>
    </row>
    <row r="238" spans="2:9" ht="16.5" customHeight="1" x14ac:dyDescent="0.25">
      <c r="B238" s="4"/>
      <c r="C238" s="4"/>
      <c r="D238" s="4"/>
      <c r="E238" s="4"/>
      <c r="F238" s="5" t="str">
        <f>IFERROR(IF(E238="","",VLOOKUP(E238,Catalogo!$B$10:$D$209,2,0)),"")</f>
        <v/>
      </c>
      <c r="G238" s="5" t="str">
        <f>IFERROR(IF(E238="","",VLOOKUP(E238,Catalogo!$B$10:$D$209,3,0)),"")</f>
        <v/>
      </c>
      <c r="H238" s="4"/>
      <c r="I238" s="4" t="str">
        <f>IF(E238="","",SUMPRODUCT((E$9:E238=E238)*(C$9:C238&lt;&gt;"Salida")*H$9:H238)-SUMPRODUCT((E$9:E238=E238)*(C$9:C238="Salida")*H$9:H238))</f>
        <v/>
      </c>
    </row>
    <row r="239" spans="2:9" ht="16.5" customHeight="1" x14ac:dyDescent="0.25">
      <c r="B239" s="6"/>
      <c r="C239" s="6"/>
      <c r="D239" s="6"/>
      <c r="E239" s="6"/>
      <c r="F239" s="7" t="str">
        <f>IFERROR(IF(E239="","",VLOOKUP(E239,Catalogo!$B$10:$D$209,2,0)),"")</f>
        <v/>
      </c>
      <c r="G239" s="7" t="str">
        <f>IFERROR(IF(E239="","",VLOOKUP(E239,Catalogo!$B$10:$D$209,3,0)),"")</f>
        <v/>
      </c>
      <c r="H239" s="6"/>
      <c r="I239" s="6" t="str">
        <f>IF(E239="","",SUMPRODUCT((E$9:E239=E239)*(C$9:C239&lt;&gt;"Salida")*H$9:H239)-SUMPRODUCT((E$9:E239=E239)*(C$9:C239="Salida")*H$9:H239))</f>
        <v/>
      </c>
    </row>
    <row r="240" spans="2:9" ht="16.5" customHeight="1" x14ac:dyDescent="0.25">
      <c r="B240" s="4"/>
      <c r="C240" s="4"/>
      <c r="D240" s="4"/>
      <c r="E240" s="4"/>
      <c r="F240" s="5" t="str">
        <f>IFERROR(IF(E240="","",VLOOKUP(E240,Catalogo!$B$10:$D$209,2,0)),"")</f>
        <v/>
      </c>
      <c r="G240" s="5" t="str">
        <f>IFERROR(IF(E240="","",VLOOKUP(E240,Catalogo!$B$10:$D$209,3,0)),"")</f>
        <v/>
      </c>
      <c r="H240" s="4"/>
      <c r="I240" s="4" t="str">
        <f>IF(E240="","",SUMPRODUCT((E$9:E240=E240)*(C$9:C240&lt;&gt;"Salida")*H$9:H240)-SUMPRODUCT((E$9:E240=E240)*(C$9:C240="Salida")*H$9:H240))</f>
        <v/>
      </c>
    </row>
    <row r="241" spans="2:9" ht="16.5" customHeight="1" x14ac:dyDescent="0.25">
      <c r="B241" s="6"/>
      <c r="C241" s="6"/>
      <c r="D241" s="6"/>
      <c r="E241" s="6"/>
      <c r="F241" s="7" t="str">
        <f>IFERROR(IF(E241="","",VLOOKUP(E241,Catalogo!$B$10:$D$209,2,0)),"")</f>
        <v/>
      </c>
      <c r="G241" s="7" t="str">
        <f>IFERROR(IF(E241="","",VLOOKUP(E241,Catalogo!$B$10:$D$209,3,0)),"")</f>
        <v/>
      </c>
      <c r="H241" s="6"/>
      <c r="I241" s="6" t="str">
        <f>IF(E241="","",SUMPRODUCT((E$9:E241=E241)*(C$9:C241&lt;&gt;"Salida")*H$9:H241)-SUMPRODUCT((E$9:E241=E241)*(C$9:C241="Salida")*H$9:H241))</f>
        <v/>
      </c>
    </row>
    <row r="242" spans="2:9" ht="16.5" customHeight="1" x14ac:dyDescent="0.25">
      <c r="B242" s="4"/>
      <c r="C242" s="4"/>
      <c r="D242" s="4"/>
      <c r="E242" s="4"/>
      <c r="F242" s="5" t="str">
        <f>IFERROR(IF(E242="","",VLOOKUP(E242,Catalogo!$B$10:$D$209,2,0)),"")</f>
        <v/>
      </c>
      <c r="G242" s="5" t="str">
        <f>IFERROR(IF(E242="","",VLOOKUP(E242,Catalogo!$B$10:$D$209,3,0)),"")</f>
        <v/>
      </c>
      <c r="H242" s="4"/>
      <c r="I242" s="4" t="str">
        <f>IF(E242="","",SUMPRODUCT((E$9:E242=E242)*(C$9:C242&lt;&gt;"Salida")*H$9:H242)-SUMPRODUCT((E$9:E242=E242)*(C$9:C242="Salida")*H$9:H242))</f>
        <v/>
      </c>
    </row>
    <row r="243" spans="2:9" ht="16.5" customHeight="1" x14ac:dyDescent="0.25">
      <c r="B243" s="6"/>
      <c r="C243" s="6"/>
      <c r="D243" s="6"/>
      <c r="E243" s="6"/>
      <c r="F243" s="7" t="str">
        <f>IFERROR(IF(E243="","",VLOOKUP(E243,Catalogo!$B$10:$D$209,2,0)),"")</f>
        <v/>
      </c>
      <c r="G243" s="7" t="str">
        <f>IFERROR(IF(E243="","",VLOOKUP(E243,Catalogo!$B$10:$D$209,3,0)),"")</f>
        <v/>
      </c>
      <c r="H243" s="6"/>
      <c r="I243" s="6" t="str">
        <f>IF(E243="","",SUMPRODUCT((E$9:E243=E243)*(C$9:C243&lt;&gt;"Salida")*H$9:H243)-SUMPRODUCT((E$9:E243=E243)*(C$9:C243="Salida")*H$9:H243))</f>
        <v/>
      </c>
    </row>
    <row r="244" spans="2:9" ht="16.5" customHeight="1" x14ac:dyDescent="0.25">
      <c r="B244" s="4"/>
      <c r="C244" s="4"/>
      <c r="D244" s="4"/>
      <c r="E244" s="4"/>
      <c r="F244" s="5" t="str">
        <f>IFERROR(IF(E244="","",VLOOKUP(E244,Catalogo!$B$10:$D$209,2,0)),"")</f>
        <v/>
      </c>
      <c r="G244" s="5" t="str">
        <f>IFERROR(IF(E244="","",VLOOKUP(E244,Catalogo!$B$10:$D$209,3,0)),"")</f>
        <v/>
      </c>
      <c r="H244" s="4"/>
      <c r="I244" s="4" t="str">
        <f>IF(E244="","",SUMPRODUCT((E$9:E244=E244)*(C$9:C244&lt;&gt;"Salida")*H$9:H244)-SUMPRODUCT((E$9:E244=E244)*(C$9:C244="Salida")*H$9:H244))</f>
        <v/>
      </c>
    </row>
    <row r="245" spans="2:9" ht="16.5" customHeight="1" x14ac:dyDescent="0.25">
      <c r="B245" s="6"/>
      <c r="C245" s="6"/>
      <c r="D245" s="6"/>
      <c r="E245" s="6"/>
      <c r="F245" s="7" t="str">
        <f>IFERROR(IF(E245="","",VLOOKUP(E245,Catalogo!$B$10:$D$209,2,0)),"")</f>
        <v/>
      </c>
      <c r="G245" s="7" t="str">
        <f>IFERROR(IF(E245="","",VLOOKUP(E245,Catalogo!$B$10:$D$209,3,0)),"")</f>
        <v/>
      </c>
      <c r="H245" s="6"/>
      <c r="I245" s="6" t="str">
        <f>IF(E245="","",SUMPRODUCT((E$9:E245=E245)*(C$9:C245&lt;&gt;"Salida")*H$9:H245)-SUMPRODUCT((E$9:E245=E245)*(C$9:C245="Salida")*H$9:H245))</f>
        <v/>
      </c>
    </row>
    <row r="246" spans="2:9" ht="16.5" customHeight="1" x14ac:dyDescent="0.25">
      <c r="B246" s="4"/>
      <c r="C246" s="4"/>
      <c r="D246" s="4"/>
      <c r="E246" s="4"/>
      <c r="F246" s="5" t="str">
        <f>IFERROR(IF(E246="","",VLOOKUP(E246,Catalogo!$B$10:$D$209,2,0)),"")</f>
        <v/>
      </c>
      <c r="G246" s="5" t="str">
        <f>IFERROR(IF(E246="","",VLOOKUP(E246,Catalogo!$B$10:$D$209,3,0)),"")</f>
        <v/>
      </c>
      <c r="H246" s="4"/>
      <c r="I246" s="4" t="str">
        <f>IF(E246="","",SUMPRODUCT((E$9:E246=E246)*(C$9:C246&lt;&gt;"Salida")*H$9:H246)-SUMPRODUCT((E$9:E246=E246)*(C$9:C246="Salida")*H$9:H246))</f>
        <v/>
      </c>
    </row>
    <row r="247" spans="2:9" ht="16.5" customHeight="1" x14ac:dyDescent="0.25">
      <c r="B247" s="6"/>
      <c r="C247" s="6"/>
      <c r="D247" s="6"/>
      <c r="E247" s="6"/>
      <c r="F247" s="7" t="str">
        <f>IFERROR(IF(E247="","",VLOOKUP(E247,Catalogo!$B$10:$D$209,2,0)),"")</f>
        <v/>
      </c>
      <c r="G247" s="7" t="str">
        <f>IFERROR(IF(E247="","",VLOOKUP(E247,Catalogo!$B$10:$D$209,3,0)),"")</f>
        <v/>
      </c>
      <c r="H247" s="6"/>
      <c r="I247" s="6" t="str">
        <f>IF(E247="","",SUMPRODUCT((E$9:E247=E247)*(C$9:C247&lt;&gt;"Salida")*H$9:H247)-SUMPRODUCT((E$9:E247=E247)*(C$9:C247="Salida")*H$9:H247))</f>
        <v/>
      </c>
    </row>
    <row r="248" spans="2:9" ht="16.5" customHeight="1" x14ac:dyDescent="0.25">
      <c r="B248" s="4"/>
      <c r="C248" s="4"/>
      <c r="D248" s="4"/>
      <c r="E248" s="4"/>
      <c r="F248" s="5" t="str">
        <f>IFERROR(IF(E248="","",VLOOKUP(E248,Catalogo!$B$10:$D$209,2,0)),"")</f>
        <v/>
      </c>
      <c r="G248" s="5" t="str">
        <f>IFERROR(IF(E248="","",VLOOKUP(E248,Catalogo!$B$10:$D$209,3,0)),"")</f>
        <v/>
      </c>
      <c r="H248" s="4"/>
      <c r="I248" s="4" t="str">
        <f>IF(E248="","",SUMPRODUCT((E$9:E248=E248)*(C$9:C248&lt;&gt;"Salida")*H$9:H248)-SUMPRODUCT((E$9:E248=E248)*(C$9:C248="Salida")*H$9:H248))</f>
        <v/>
      </c>
    </row>
    <row r="249" spans="2:9" ht="16.5" customHeight="1" x14ac:dyDescent="0.25">
      <c r="B249" s="6"/>
      <c r="C249" s="6"/>
      <c r="D249" s="6"/>
      <c r="E249" s="6"/>
      <c r="F249" s="7" t="str">
        <f>IFERROR(IF(E249="","",VLOOKUP(E249,Catalogo!$B$10:$D$209,2,0)),"")</f>
        <v/>
      </c>
      <c r="G249" s="7" t="str">
        <f>IFERROR(IF(E249="","",VLOOKUP(E249,Catalogo!$B$10:$D$209,3,0)),"")</f>
        <v/>
      </c>
      <c r="H249" s="6"/>
      <c r="I249" s="6" t="str">
        <f>IF(E249="","",SUMPRODUCT((E$9:E249=E249)*(C$9:C249&lt;&gt;"Salida")*H$9:H249)-SUMPRODUCT((E$9:E249=E249)*(C$9:C249="Salida")*H$9:H249))</f>
        <v/>
      </c>
    </row>
    <row r="250" spans="2:9" ht="16.5" customHeight="1" x14ac:dyDescent="0.25">
      <c r="B250" s="4"/>
      <c r="C250" s="4"/>
      <c r="D250" s="4"/>
      <c r="E250" s="4"/>
      <c r="F250" s="5" t="str">
        <f>IFERROR(IF(E250="","",VLOOKUP(E250,Catalogo!$B$10:$D$209,2,0)),"")</f>
        <v/>
      </c>
      <c r="G250" s="5" t="str">
        <f>IFERROR(IF(E250="","",VLOOKUP(E250,Catalogo!$B$10:$D$209,3,0)),"")</f>
        <v/>
      </c>
      <c r="H250" s="4"/>
      <c r="I250" s="4" t="str">
        <f>IF(E250="","",SUMPRODUCT((E$9:E250=E250)*(C$9:C250&lt;&gt;"Salida")*H$9:H250)-SUMPRODUCT((E$9:E250=E250)*(C$9:C250="Salida")*H$9:H250))</f>
        <v/>
      </c>
    </row>
    <row r="251" spans="2:9" ht="16.5" customHeight="1" x14ac:dyDescent="0.25">
      <c r="B251" s="6"/>
      <c r="C251" s="6"/>
      <c r="D251" s="6"/>
      <c r="E251" s="6"/>
      <c r="F251" s="7" t="str">
        <f>IFERROR(IF(E251="","",VLOOKUP(E251,Catalogo!$B$10:$D$209,2,0)),"")</f>
        <v/>
      </c>
      <c r="G251" s="7" t="str">
        <f>IFERROR(IF(E251="","",VLOOKUP(E251,Catalogo!$B$10:$D$209,3,0)),"")</f>
        <v/>
      </c>
      <c r="H251" s="6"/>
      <c r="I251" s="6" t="str">
        <f>IF(E251="","",SUMPRODUCT((E$9:E251=E251)*(C$9:C251&lt;&gt;"Salida")*H$9:H251)-SUMPRODUCT((E$9:E251=E251)*(C$9:C251="Salida")*H$9:H251))</f>
        <v/>
      </c>
    </row>
    <row r="252" spans="2:9" ht="16.5" customHeight="1" x14ac:dyDescent="0.25">
      <c r="B252" s="4"/>
      <c r="C252" s="4"/>
      <c r="D252" s="4"/>
      <c r="E252" s="4"/>
      <c r="F252" s="5" t="str">
        <f>IFERROR(IF(E252="","",VLOOKUP(E252,Catalogo!$B$10:$D$209,2,0)),"")</f>
        <v/>
      </c>
      <c r="G252" s="5" t="str">
        <f>IFERROR(IF(E252="","",VLOOKUP(E252,Catalogo!$B$10:$D$209,3,0)),"")</f>
        <v/>
      </c>
      <c r="H252" s="4"/>
      <c r="I252" s="4" t="str">
        <f>IF(E252="","",SUMPRODUCT((E$9:E252=E252)*(C$9:C252&lt;&gt;"Salida")*H$9:H252)-SUMPRODUCT((E$9:E252=E252)*(C$9:C252="Salida")*H$9:H252))</f>
        <v/>
      </c>
    </row>
    <row r="253" spans="2:9" ht="16.5" customHeight="1" x14ac:dyDescent="0.25">
      <c r="B253" s="6"/>
      <c r="C253" s="6"/>
      <c r="D253" s="6"/>
      <c r="E253" s="6"/>
      <c r="F253" s="7" t="str">
        <f>IFERROR(IF(E253="","",VLOOKUP(E253,Catalogo!$B$10:$D$209,2,0)),"")</f>
        <v/>
      </c>
      <c r="G253" s="7" t="str">
        <f>IFERROR(IF(E253="","",VLOOKUP(E253,Catalogo!$B$10:$D$209,3,0)),"")</f>
        <v/>
      </c>
      <c r="H253" s="6"/>
      <c r="I253" s="6" t="str">
        <f>IF(E253="","",SUMPRODUCT((E$9:E253=E253)*(C$9:C253&lt;&gt;"Salida")*H$9:H253)-SUMPRODUCT((E$9:E253=E253)*(C$9:C253="Salida")*H$9:H253))</f>
        <v/>
      </c>
    </row>
    <row r="254" spans="2:9" ht="16.5" customHeight="1" x14ac:dyDescent="0.25">
      <c r="B254" s="4"/>
      <c r="C254" s="4"/>
      <c r="D254" s="4"/>
      <c r="E254" s="4"/>
      <c r="F254" s="5" t="str">
        <f>IFERROR(IF(E254="","",VLOOKUP(E254,Catalogo!$B$10:$D$209,2,0)),"")</f>
        <v/>
      </c>
      <c r="G254" s="5" t="str">
        <f>IFERROR(IF(E254="","",VLOOKUP(E254,Catalogo!$B$10:$D$209,3,0)),"")</f>
        <v/>
      </c>
      <c r="H254" s="4"/>
      <c r="I254" s="4" t="str">
        <f>IF(E254="","",SUMPRODUCT((E$9:E254=E254)*(C$9:C254&lt;&gt;"Salida")*H$9:H254)-SUMPRODUCT((E$9:E254=E254)*(C$9:C254="Salida")*H$9:H254))</f>
        <v/>
      </c>
    </row>
    <row r="255" spans="2:9" ht="16.5" customHeight="1" x14ac:dyDescent="0.25">
      <c r="B255" s="6"/>
      <c r="C255" s="6"/>
      <c r="D255" s="6"/>
      <c r="E255" s="6"/>
      <c r="F255" s="7" t="str">
        <f>IFERROR(IF(E255="","",VLOOKUP(E255,Catalogo!$B$10:$D$209,2,0)),"")</f>
        <v/>
      </c>
      <c r="G255" s="7" t="str">
        <f>IFERROR(IF(E255="","",VLOOKUP(E255,Catalogo!$B$10:$D$209,3,0)),"")</f>
        <v/>
      </c>
      <c r="H255" s="6"/>
      <c r="I255" s="6" t="str">
        <f>IF(E255="","",SUMPRODUCT((E$9:E255=E255)*(C$9:C255&lt;&gt;"Salida")*H$9:H255)-SUMPRODUCT((E$9:E255=E255)*(C$9:C255="Salida")*H$9:H255))</f>
        <v/>
      </c>
    </row>
    <row r="256" spans="2:9" ht="16.5" customHeight="1" x14ac:dyDescent="0.25">
      <c r="B256" s="4"/>
      <c r="C256" s="4"/>
      <c r="D256" s="4"/>
      <c r="E256" s="4"/>
      <c r="F256" s="5" t="str">
        <f>IFERROR(IF(E256="","",VLOOKUP(E256,Catalogo!$B$10:$D$209,2,0)),"")</f>
        <v/>
      </c>
      <c r="G256" s="5" t="str">
        <f>IFERROR(IF(E256="","",VLOOKUP(E256,Catalogo!$B$10:$D$209,3,0)),"")</f>
        <v/>
      </c>
      <c r="H256" s="4"/>
      <c r="I256" s="4" t="str">
        <f>IF(E256="","",SUMPRODUCT((E$9:E256=E256)*(C$9:C256&lt;&gt;"Salida")*H$9:H256)-SUMPRODUCT((E$9:E256=E256)*(C$9:C256="Salida")*H$9:H256))</f>
        <v/>
      </c>
    </row>
    <row r="257" spans="2:9" ht="16.5" customHeight="1" x14ac:dyDescent="0.25">
      <c r="B257" s="6"/>
      <c r="C257" s="6"/>
      <c r="D257" s="6"/>
      <c r="E257" s="6"/>
      <c r="F257" s="7" t="str">
        <f>IFERROR(IF(E257="","",VLOOKUP(E257,Catalogo!$B$10:$D$209,2,0)),"")</f>
        <v/>
      </c>
      <c r="G257" s="7" t="str">
        <f>IFERROR(IF(E257="","",VLOOKUP(E257,Catalogo!$B$10:$D$209,3,0)),"")</f>
        <v/>
      </c>
      <c r="H257" s="6"/>
      <c r="I257" s="6" t="str">
        <f>IF(E257="","",SUMPRODUCT((E$9:E257=E257)*(C$9:C257&lt;&gt;"Salida")*H$9:H257)-SUMPRODUCT((E$9:E257=E257)*(C$9:C257="Salida")*H$9:H257))</f>
        <v/>
      </c>
    </row>
    <row r="258" spans="2:9" ht="16.5" customHeight="1" x14ac:dyDescent="0.25">
      <c r="B258" s="4"/>
      <c r="C258" s="4"/>
      <c r="D258" s="4"/>
      <c r="E258" s="4"/>
      <c r="F258" s="5" t="str">
        <f>IFERROR(IF(E258="","",VLOOKUP(E258,Catalogo!$B$10:$D$209,2,0)),"")</f>
        <v/>
      </c>
      <c r="G258" s="5" t="str">
        <f>IFERROR(IF(E258="","",VLOOKUP(E258,Catalogo!$B$10:$D$209,3,0)),"")</f>
        <v/>
      </c>
      <c r="H258" s="4"/>
      <c r="I258" s="4" t="str">
        <f>IF(E258="","",SUMPRODUCT((E$9:E258=E258)*(C$9:C258&lt;&gt;"Salida")*H$9:H258)-SUMPRODUCT((E$9:E258=E258)*(C$9:C258="Salida")*H$9:H258))</f>
        <v/>
      </c>
    </row>
    <row r="259" spans="2:9" ht="16.5" customHeight="1" x14ac:dyDescent="0.25">
      <c r="B259" s="6"/>
      <c r="C259" s="6"/>
      <c r="D259" s="6"/>
      <c r="E259" s="6"/>
      <c r="F259" s="7" t="str">
        <f>IFERROR(IF(E259="","",VLOOKUP(E259,Catalogo!$B$10:$D$209,2,0)),"")</f>
        <v/>
      </c>
      <c r="G259" s="7" t="str">
        <f>IFERROR(IF(E259="","",VLOOKUP(E259,Catalogo!$B$10:$D$209,3,0)),"")</f>
        <v/>
      </c>
      <c r="H259" s="6"/>
      <c r="I259" s="6" t="str">
        <f>IF(E259="","",SUMPRODUCT((E$9:E259=E259)*(C$9:C259&lt;&gt;"Salida")*H$9:H259)-SUMPRODUCT((E$9:E259=E259)*(C$9:C259="Salida")*H$9:H259))</f>
        <v/>
      </c>
    </row>
    <row r="260" spans="2:9" ht="16.5" customHeight="1" x14ac:dyDescent="0.25">
      <c r="B260" s="4"/>
      <c r="C260" s="4"/>
      <c r="D260" s="4"/>
      <c r="E260" s="4"/>
      <c r="F260" s="5" t="str">
        <f>IFERROR(IF(E260="","",VLOOKUP(E260,Catalogo!$B$10:$D$209,2,0)),"")</f>
        <v/>
      </c>
      <c r="G260" s="5" t="str">
        <f>IFERROR(IF(E260="","",VLOOKUP(E260,Catalogo!$B$10:$D$209,3,0)),"")</f>
        <v/>
      </c>
      <c r="H260" s="4"/>
      <c r="I260" s="4" t="str">
        <f>IF(E260="","",SUMPRODUCT((E$9:E260=E260)*(C$9:C260&lt;&gt;"Salida")*H$9:H260)-SUMPRODUCT((E$9:E260=E260)*(C$9:C260="Salida")*H$9:H260))</f>
        <v/>
      </c>
    </row>
    <row r="261" spans="2:9" ht="16.5" customHeight="1" x14ac:dyDescent="0.25">
      <c r="B261" s="6"/>
      <c r="C261" s="6"/>
      <c r="D261" s="6"/>
      <c r="E261" s="6"/>
      <c r="F261" s="7" t="str">
        <f>IFERROR(IF(E261="","",VLOOKUP(E261,Catalogo!$B$10:$D$209,2,0)),"")</f>
        <v/>
      </c>
      <c r="G261" s="7" t="str">
        <f>IFERROR(IF(E261="","",VLOOKUP(E261,Catalogo!$B$10:$D$209,3,0)),"")</f>
        <v/>
      </c>
      <c r="H261" s="6"/>
      <c r="I261" s="6" t="str">
        <f>IF(E261="","",SUMPRODUCT((E$9:E261=E261)*(C$9:C261&lt;&gt;"Salida")*H$9:H261)-SUMPRODUCT((E$9:E261=E261)*(C$9:C261="Salida")*H$9:H261))</f>
        <v/>
      </c>
    </row>
    <row r="262" spans="2:9" ht="16.5" customHeight="1" x14ac:dyDescent="0.25">
      <c r="B262" s="4"/>
      <c r="C262" s="4"/>
      <c r="D262" s="4"/>
      <c r="E262" s="4"/>
      <c r="F262" s="5" t="str">
        <f>IFERROR(IF(E262="","",VLOOKUP(E262,Catalogo!$B$10:$D$209,2,0)),"")</f>
        <v/>
      </c>
      <c r="G262" s="5" t="str">
        <f>IFERROR(IF(E262="","",VLOOKUP(E262,Catalogo!$B$10:$D$209,3,0)),"")</f>
        <v/>
      </c>
      <c r="H262" s="4"/>
      <c r="I262" s="4" t="str">
        <f>IF(E262="","",SUMPRODUCT((E$9:E262=E262)*(C$9:C262&lt;&gt;"Salida")*H$9:H262)-SUMPRODUCT((E$9:E262=E262)*(C$9:C262="Salida")*H$9:H262))</f>
        <v/>
      </c>
    </row>
    <row r="263" spans="2:9" ht="16.5" customHeight="1" x14ac:dyDescent="0.25">
      <c r="B263" s="6"/>
      <c r="C263" s="6"/>
      <c r="D263" s="6"/>
      <c r="E263" s="6"/>
      <c r="F263" s="7" t="str">
        <f>IFERROR(IF(E263="","",VLOOKUP(E263,Catalogo!$B$10:$D$209,2,0)),"")</f>
        <v/>
      </c>
      <c r="G263" s="7" t="str">
        <f>IFERROR(IF(E263="","",VLOOKUP(E263,Catalogo!$B$10:$D$209,3,0)),"")</f>
        <v/>
      </c>
      <c r="H263" s="6"/>
      <c r="I263" s="6" t="str">
        <f>IF(E263="","",SUMPRODUCT((E$9:E263=E263)*(C$9:C263&lt;&gt;"Salida")*H$9:H263)-SUMPRODUCT((E$9:E263=E263)*(C$9:C263="Salida")*H$9:H263))</f>
        <v/>
      </c>
    </row>
    <row r="264" spans="2:9" ht="16.5" customHeight="1" x14ac:dyDescent="0.25">
      <c r="B264" s="4"/>
      <c r="C264" s="4"/>
      <c r="D264" s="4"/>
      <c r="E264" s="4"/>
      <c r="F264" s="5" t="str">
        <f>IFERROR(IF(E264="","",VLOOKUP(E264,Catalogo!$B$10:$D$209,2,0)),"")</f>
        <v/>
      </c>
      <c r="G264" s="5" t="str">
        <f>IFERROR(IF(E264="","",VLOOKUP(E264,Catalogo!$B$10:$D$209,3,0)),"")</f>
        <v/>
      </c>
      <c r="H264" s="4"/>
      <c r="I264" s="4" t="str">
        <f>IF(E264="","",SUMPRODUCT((E$9:E264=E264)*(C$9:C264&lt;&gt;"Salida")*H$9:H264)-SUMPRODUCT((E$9:E264=E264)*(C$9:C264="Salida")*H$9:H264))</f>
        <v/>
      </c>
    </row>
    <row r="265" spans="2:9" ht="16.5" customHeight="1" x14ac:dyDescent="0.25">
      <c r="B265" s="6"/>
      <c r="C265" s="6"/>
      <c r="D265" s="6"/>
      <c r="E265" s="6"/>
      <c r="F265" s="7" t="str">
        <f>IFERROR(IF(E265="","",VLOOKUP(E265,Catalogo!$B$10:$D$209,2,0)),"")</f>
        <v/>
      </c>
      <c r="G265" s="7" t="str">
        <f>IFERROR(IF(E265="","",VLOOKUP(E265,Catalogo!$B$10:$D$209,3,0)),"")</f>
        <v/>
      </c>
      <c r="H265" s="6"/>
      <c r="I265" s="6" t="str">
        <f>IF(E265="","",SUMPRODUCT((E$9:E265=E265)*(C$9:C265&lt;&gt;"Salida")*H$9:H265)-SUMPRODUCT((E$9:E265=E265)*(C$9:C265="Salida")*H$9:H265))</f>
        <v/>
      </c>
    </row>
    <row r="266" spans="2:9" ht="16.5" customHeight="1" x14ac:dyDescent="0.25">
      <c r="B266" s="4"/>
      <c r="C266" s="4"/>
      <c r="D266" s="4"/>
      <c r="E266" s="4"/>
      <c r="F266" s="5" t="str">
        <f>IFERROR(IF(E266="","",VLOOKUP(E266,Catalogo!$B$10:$D$209,2,0)),"")</f>
        <v/>
      </c>
      <c r="G266" s="5" t="str">
        <f>IFERROR(IF(E266="","",VLOOKUP(E266,Catalogo!$B$10:$D$209,3,0)),"")</f>
        <v/>
      </c>
      <c r="H266" s="4"/>
      <c r="I266" s="4" t="str">
        <f>IF(E266="","",SUMPRODUCT((E$9:E266=E266)*(C$9:C266&lt;&gt;"Salida")*H$9:H266)-SUMPRODUCT((E$9:E266=E266)*(C$9:C266="Salida")*H$9:H266))</f>
        <v/>
      </c>
    </row>
    <row r="267" spans="2:9" ht="16.5" customHeight="1" x14ac:dyDescent="0.25">
      <c r="B267" s="6"/>
      <c r="C267" s="6"/>
      <c r="D267" s="6"/>
      <c r="E267" s="6"/>
      <c r="F267" s="7" t="str">
        <f>IFERROR(IF(E267="","",VLOOKUP(E267,Catalogo!$B$10:$D$209,2,0)),"")</f>
        <v/>
      </c>
      <c r="G267" s="7" t="str">
        <f>IFERROR(IF(E267="","",VLOOKUP(E267,Catalogo!$B$10:$D$209,3,0)),"")</f>
        <v/>
      </c>
      <c r="H267" s="6"/>
      <c r="I267" s="6" t="str">
        <f>IF(E267="","",SUMPRODUCT((E$9:E267=E267)*(C$9:C267&lt;&gt;"Salida")*H$9:H267)-SUMPRODUCT((E$9:E267=E267)*(C$9:C267="Salida")*H$9:H267))</f>
        <v/>
      </c>
    </row>
    <row r="268" spans="2:9" ht="16.5" customHeight="1" x14ac:dyDescent="0.25">
      <c r="B268" s="4"/>
      <c r="C268" s="4"/>
      <c r="D268" s="4"/>
      <c r="E268" s="4"/>
      <c r="F268" s="5" t="str">
        <f>IFERROR(IF(E268="","",VLOOKUP(E268,Catalogo!$B$10:$D$209,2,0)),"")</f>
        <v/>
      </c>
      <c r="G268" s="5" t="str">
        <f>IFERROR(IF(E268="","",VLOOKUP(E268,Catalogo!$B$10:$D$209,3,0)),"")</f>
        <v/>
      </c>
      <c r="H268" s="4"/>
      <c r="I268" s="4" t="str">
        <f>IF(E268="","",SUMPRODUCT((E$9:E268=E268)*(C$9:C268&lt;&gt;"Salida")*H$9:H268)-SUMPRODUCT((E$9:E268=E268)*(C$9:C268="Salida")*H$9:H268))</f>
        <v/>
      </c>
    </row>
    <row r="269" spans="2:9" ht="16.5" customHeight="1" x14ac:dyDescent="0.25">
      <c r="B269" s="6"/>
      <c r="C269" s="6"/>
      <c r="D269" s="6"/>
      <c r="E269" s="6"/>
      <c r="F269" s="7" t="str">
        <f>IFERROR(IF(E269="","",VLOOKUP(E269,Catalogo!$B$10:$D$209,2,0)),"")</f>
        <v/>
      </c>
      <c r="G269" s="7" t="str">
        <f>IFERROR(IF(E269="","",VLOOKUP(E269,Catalogo!$B$10:$D$209,3,0)),"")</f>
        <v/>
      </c>
      <c r="H269" s="6"/>
      <c r="I269" s="6" t="str">
        <f>IF(E269="","",SUMPRODUCT((E$9:E269=E269)*(C$9:C269&lt;&gt;"Salida")*H$9:H269)-SUMPRODUCT((E$9:E269=E269)*(C$9:C269="Salida")*H$9:H269))</f>
        <v/>
      </c>
    </row>
    <row r="270" spans="2:9" ht="16.5" customHeight="1" x14ac:dyDescent="0.25">
      <c r="B270" s="4"/>
      <c r="C270" s="4"/>
      <c r="D270" s="4"/>
      <c r="E270" s="4"/>
      <c r="F270" s="5" t="str">
        <f>IFERROR(IF(E270="","",VLOOKUP(E270,Catalogo!$B$10:$D$209,2,0)),"")</f>
        <v/>
      </c>
      <c r="G270" s="5" t="str">
        <f>IFERROR(IF(E270="","",VLOOKUP(E270,Catalogo!$B$10:$D$209,3,0)),"")</f>
        <v/>
      </c>
      <c r="H270" s="4"/>
      <c r="I270" s="4" t="str">
        <f>IF(E270="","",SUMPRODUCT((E$9:E270=E270)*(C$9:C270&lt;&gt;"Salida")*H$9:H270)-SUMPRODUCT((E$9:E270=E270)*(C$9:C270="Salida")*H$9:H270))</f>
        <v/>
      </c>
    </row>
    <row r="271" spans="2:9" ht="16.5" customHeight="1" x14ac:dyDescent="0.25">
      <c r="B271" s="6"/>
      <c r="C271" s="6"/>
      <c r="D271" s="6"/>
      <c r="E271" s="6"/>
      <c r="F271" s="7" t="str">
        <f>IFERROR(IF(E271="","",VLOOKUP(E271,Catalogo!$B$10:$D$209,2,0)),"")</f>
        <v/>
      </c>
      <c r="G271" s="7" t="str">
        <f>IFERROR(IF(E271="","",VLOOKUP(E271,Catalogo!$B$10:$D$209,3,0)),"")</f>
        <v/>
      </c>
      <c r="H271" s="6"/>
      <c r="I271" s="6" t="str">
        <f>IF(E271="","",SUMPRODUCT((E$9:E271=E271)*(C$9:C271&lt;&gt;"Salida")*H$9:H271)-SUMPRODUCT((E$9:E271=E271)*(C$9:C271="Salida")*H$9:H271))</f>
        <v/>
      </c>
    </row>
    <row r="272" spans="2:9" ht="16.5" customHeight="1" x14ac:dyDescent="0.25">
      <c r="B272" s="4"/>
      <c r="C272" s="4"/>
      <c r="D272" s="4"/>
      <c r="E272" s="4"/>
      <c r="F272" s="5" t="str">
        <f>IFERROR(IF(E272="","",VLOOKUP(E272,Catalogo!$B$10:$D$209,2,0)),"")</f>
        <v/>
      </c>
      <c r="G272" s="5" t="str">
        <f>IFERROR(IF(E272="","",VLOOKUP(E272,Catalogo!$B$10:$D$209,3,0)),"")</f>
        <v/>
      </c>
      <c r="H272" s="4"/>
      <c r="I272" s="4" t="str">
        <f>IF(E272="","",SUMPRODUCT((E$9:E272=E272)*(C$9:C272&lt;&gt;"Salida")*H$9:H272)-SUMPRODUCT((E$9:E272=E272)*(C$9:C272="Salida")*H$9:H272))</f>
        <v/>
      </c>
    </row>
    <row r="273" spans="2:9" ht="16.5" customHeight="1" x14ac:dyDescent="0.25">
      <c r="B273" s="6"/>
      <c r="C273" s="6"/>
      <c r="D273" s="6"/>
      <c r="E273" s="6"/>
      <c r="F273" s="7" t="str">
        <f>IFERROR(IF(E273="","",VLOOKUP(E273,Catalogo!$B$10:$D$209,2,0)),"")</f>
        <v/>
      </c>
      <c r="G273" s="7" t="str">
        <f>IFERROR(IF(E273="","",VLOOKUP(E273,Catalogo!$B$10:$D$209,3,0)),"")</f>
        <v/>
      </c>
      <c r="H273" s="6"/>
      <c r="I273" s="6" t="str">
        <f>IF(E273="","",SUMPRODUCT((E$9:E273=E273)*(C$9:C273&lt;&gt;"Salida")*H$9:H273)-SUMPRODUCT((E$9:E273=E273)*(C$9:C273="Salida")*H$9:H273))</f>
        <v/>
      </c>
    </row>
    <row r="274" spans="2:9" ht="16.5" customHeight="1" x14ac:dyDescent="0.25">
      <c r="B274" s="4"/>
      <c r="C274" s="4"/>
      <c r="D274" s="4"/>
      <c r="E274" s="4"/>
      <c r="F274" s="5" t="str">
        <f>IFERROR(IF(E274="","",VLOOKUP(E274,Catalogo!$B$10:$D$209,2,0)),"")</f>
        <v/>
      </c>
      <c r="G274" s="5" t="str">
        <f>IFERROR(IF(E274="","",VLOOKUP(E274,Catalogo!$B$10:$D$209,3,0)),"")</f>
        <v/>
      </c>
      <c r="H274" s="4"/>
      <c r="I274" s="4" t="str">
        <f>IF(E274="","",SUMPRODUCT((E$9:E274=E274)*(C$9:C274&lt;&gt;"Salida")*H$9:H274)-SUMPRODUCT((E$9:E274=E274)*(C$9:C274="Salida")*H$9:H274))</f>
        <v/>
      </c>
    </row>
    <row r="275" spans="2:9" ht="16.5" customHeight="1" x14ac:dyDescent="0.25">
      <c r="B275" s="6"/>
      <c r="C275" s="6"/>
      <c r="D275" s="6"/>
      <c r="E275" s="6"/>
      <c r="F275" s="7" t="str">
        <f>IFERROR(IF(E275="","",VLOOKUP(E275,Catalogo!$B$10:$D$209,2,0)),"")</f>
        <v/>
      </c>
      <c r="G275" s="7" t="str">
        <f>IFERROR(IF(E275="","",VLOOKUP(E275,Catalogo!$B$10:$D$209,3,0)),"")</f>
        <v/>
      </c>
      <c r="H275" s="6"/>
      <c r="I275" s="6" t="str">
        <f>IF(E275="","",SUMPRODUCT((E$9:E275=E275)*(C$9:C275&lt;&gt;"Salida")*H$9:H275)-SUMPRODUCT((E$9:E275=E275)*(C$9:C275="Salida")*H$9:H275))</f>
        <v/>
      </c>
    </row>
    <row r="276" spans="2:9" ht="16.5" customHeight="1" x14ac:dyDescent="0.25">
      <c r="B276" s="4"/>
      <c r="C276" s="4"/>
      <c r="D276" s="4"/>
      <c r="E276" s="4"/>
      <c r="F276" s="5" t="str">
        <f>IFERROR(IF(E276="","",VLOOKUP(E276,Catalogo!$B$10:$D$209,2,0)),"")</f>
        <v/>
      </c>
      <c r="G276" s="5" t="str">
        <f>IFERROR(IF(E276="","",VLOOKUP(E276,Catalogo!$B$10:$D$209,3,0)),"")</f>
        <v/>
      </c>
      <c r="H276" s="4"/>
      <c r="I276" s="4" t="str">
        <f>IF(E276="","",SUMPRODUCT((E$9:E276=E276)*(C$9:C276&lt;&gt;"Salida")*H$9:H276)-SUMPRODUCT((E$9:E276=E276)*(C$9:C276="Salida")*H$9:H276))</f>
        <v/>
      </c>
    </row>
    <row r="277" spans="2:9" ht="16.5" customHeight="1" x14ac:dyDescent="0.25">
      <c r="B277" s="6"/>
      <c r="C277" s="6"/>
      <c r="D277" s="6"/>
      <c r="E277" s="6"/>
      <c r="F277" s="7" t="str">
        <f>IFERROR(IF(E277="","",VLOOKUP(E277,Catalogo!$B$10:$D$209,2,0)),"")</f>
        <v/>
      </c>
      <c r="G277" s="7" t="str">
        <f>IFERROR(IF(E277="","",VLOOKUP(E277,Catalogo!$B$10:$D$209,3,0)),"")</f>
        <v/>
      </c>
      <c r="H277" s="6"/>
      <c r="I277" s="6" t="str">
        <f>IF(E277="","",SUMPRODUCT((E$9:E277=E277)*(C$9:C277&lt;&gt;"Salida")*H$9:H277)-SUMPRODUCT((E$9:E277=E277)*(C$9:C277="Salida")*H$9:H277))</f>
        <v/>
      </c>
    </row>
    <row r="278" spans="2:9" ht="16.5" customHeight="1" x14ac:dyDescent="0.25">
      <c r="B278" s="4"/>
      <c r="C278" s="4"/>
      <c r="D278" s="4"/>
      <c r="E278" s="4"/>
      <c r="F278" s="5" t="str">
        <f>IFERROR(IF(E278="","",VLOOKUP(E278,Catalogo!$B$10:$D$209,2,0)),"")</f>
        <v/>
      </c>
      <c r="G278" s="5" t="str">
        <f>IFERROR(IF(E278="","",VLOOKUP(E278,Catalogo!$B$10:$D$209,3,0)),"")</f>
        <v/>
      </c>
      <c r="H278" s="4"/>
      <c r="I278" s="4" t="str">
        <f>IF(E278="","",SUMPRODUCT((E$9:E278=E278)*(C$9:C278&lt;&gt;"Salida")*H$9:H278)-SUMPRODUCT((E$9:E278=E278)*(C$9:C278="Salida")*H$9:H278))</f>
        <v/>
      </c>
    </row>
    <row r="279" spans="2:9" ht="16.5" customHeight="1" x14ac:dyDescent="0.25">
      <c r="B279" s="6"/>
      <c r="C279" s="6"/>
      <c r="D279" s="6"/>
      <c r="E279" s="6"/>
      <c r="F279" s="7" t="str">
        <f>IFERROR(IF(E279="","",VLOOKUP(E279,Catalogo!$B$10:$D$209,2,0)),"")</f>
        <v/>
      </c>
      <c r="G279" s="7" t="str">
        <f>IFERROR(IF(E279="","",VLOOKUP(E279,Catalogo!$B$10:$D$209,3,0)),"")</f>
        <v/>
      </c>
      <c r="H279" s="6"/>
      <c r="I279" s="6" t="str">
        <f>IF(E279="","",SUMPRODUCT((E$9:E279=E279)*(C$9:C279&lt;&gt;"Salida")*H$9:H279)-SUMPRODUCT((E$9:E279=E279)*(C$9:C279="Salida")*H$9:H279))</f>
        <v/>
      </c>
    </row>
    <row r="280" spans="2:9" ht="16.5" customHeight="1" x14ac:dyDescent="0.25">
      <c r="B280" s="4"/>
      <c r="C280" s="4"/>
      <c r="D280" s="4"/>
      <c r="E280" s="4"/>
      <c r="F280" s="5" t="str">
        <f>IFERROR(IF(E280="","",VLOOKUP(E280,Catalogo!$B$10:$D$209,2,0)),"")</f>
        <v/>
      </c>
      <c r="G280" s="5" t="str">
        <f>IFERROR(IF(E280="","",VLOOKUP(E280,Catalogo!$B$10:$D$209,3,0)),"")</f>
        <v/>
      </c>
      <c r="H280" s="4"/>
      <c r="I280" s="4" t="str">
        <f>IF(E280="","",SUMPRODUCT((E$9:E280=E280)*(C$9:C280&lt;&gt;"Salida")*H$9:H280)-SUMPRODUCT((E$9:E280=E280)*(C$9:C280="Salida")*H$9:H280))</f>
        <v/>
      </c>
    </row>
    <row r="281" spans="2:9" ht="16.5" customHeight="1" x14ac:dyDescent="0.25">
      <c r="B281" s="6"/>
      <c r="C281" s="6"/>
      <c r="D281" s="6"/>
      <c r="E281" s="6"/>
      <c r="F281" s="7" t="str">
        <f>IFERROR(IF(E281="","",VLOOKUP(E281,Catalogo!$B$10:$D$209,2,0)),"")</f>
        <v/>
      </c>
      <c r="G281" s="7" t="str">
        <f>IFERROR(IF(E281="","",VLOOKUP(E281,Catalogo!$B$10:$D$209,3,0)),"")</f>
        <v/>
      </c>
      <c r="H281" s="6"/>
      <c r="I281" s="6" t="str">
        <f>IF(E281="","",SUMPRODUCT((E$9:E281=E281)*(C$9:C281&lt;&gt;"Salida")*H$9:H281)-SUMPRODUCT((E$9:E281=E281)*(C$9:C281="Salida")*H$9:H281))</f>
        <v/>
      </c>
    </row>
    <row r="282" spans="2:9" ht="16.5" customHeight="1" x14ac:dyDescent="0.25">
      <c r="B282" s="4"/>
      <c r="C282" s="4"/>
      <c r="D282" s="4"/>
      <c r="E282" s="4"/>
      <c r="F282" s="5" t="str">
        <f>IFERROR(IF(E282="","",VLOOKUP(E282,Catalogo!$B$10:$D$209,2,0)),"")</f>
        <v/>
      </c>
      <c r="G282" s="5" t="str">
        <f>IFERROR(IF(E282="","",VLOOKUP(E282,Catalogo!$B$10:$D$209,3,0)),"")</f>
        <v/>
      </c>
      <c r="H282" s="4"/>
      <c r="I282" s="4" t="str">
        <f>IF(E282="","",SUMPRODUCT((E$9:E282=E282)*(C$9:C282&lt;&gt;"Salida")*H$9:H282)-SUMPRODUCT((E$9:E282=E282)*(C$9:C282="Salida")*H$9:H282))</f>
        <v/>
      </c>
    </row>
    <row r="283" spans="2:9" ht="16.5" customHeight="1" x14ac:dyDescent="0.25">
      <c r="B283" s="6"/>
      <c r="C283" s="6"/>
      <c r="D283" s="6"/>
      <c r="E283" s="6"/>
      <c r="F283" s="7" t="str">
        <f>IFERROR(IF(E283="","",VLOOKUP(E283,Catalogo!$B$10:$D$209,2,0)),"")</f>
        <v/>
      </c>
      <c r="G283" s="7" t="str">
        <f>IFERROR(IF(E283="","",VLOOKUP(E283,Catalogo!$B$10:$D$209,3,0)),"")</f>
        <v/>
      </c>
      <c r="H283" s="6"/>
      <c r="I283" s="6" t="str">
        <f>IF(E283="","",SUMPRODUCT((E$9:E283=E283)*(C$9:C283&lt;&gt;"Salida")*H$9:H283)-SUMPRODUCT((E$9:E283=E283)*(C$9:C283="Salida")*H$9:H283))</f>
        <v/>
      </c>
    </row>
    <row r="284" spans="2:9" ht="16.5" customHeight="1" x14ac:dyDescent="0.25">
      <c r="B284" s="4"/>
      <c r="C284" s="4"/>
      <c r="D284" s="4"/>
      <c r="E284" s="4"/>
      <c r="F284" s="5" t="str">
        <f>IFERROR(IF(E284="","",VLOOKUP(E284,Catalogo!$B$10:$D$209,2,0)),"")</f>
        <v/>
      </c>
      <c r="G284" s="5" t="str">
        <f>IFERROR(IF(E284="","",VLOOKUP(E284,Catalogo!$B$10:$D$209,3,0)),"")</f>
        <v/>
      </c>
      <c r="H284" s="4"/>
      <c r="I284" s="4" t="str">
        <f>IF(E284="","",SUMPRODUCT((E$9:E284=E284)*(C$9:C284&lt;&gt;"Salida")*H$9:H284)-SUMPRODUCT((E$9:E284=E284)*(C$9:C284="Salida")*H$9:H284))</f>
        <v/>
      </c>
    </row>
    <row r="285" spans="2:9" ht="16.5" customHeight="1" x14ac:dyDescent="0.25">
      <c r="B285" s="6"/>
      <c r="C285" s="6"/>
      <c r="D285" s="6"/>
      <c r="E285" s="6"/>
      <c r="F285" s="7" t="str">
        <f>IFERROR(IF(E285="","",VLOOKUP(E285,Catalogo!$B$10:$D$209,2,0)),"")</f>
        <v/>
      </c>
      <c r="G285" s="7" t="str">
        <f>IFERROR(IF(E285="","",VLOOKUP(E285,Catalogo!$B$10:$D$209,3,0)),"")</f>
        <v/>
      </c>
      <c r="H285" s="6"/>
      <c r="I285" s="6" t="str">
        <f>IF(E285="","",SUMPRODUCT((E$9:E285=E285)*(C$9:C285&lt;&gt;"Salida")*H$9:H285)-SUMPRODUCT((E$9:E285=E285)*(C$9:C285="Salida")*H$9:H285))</f>
        <v/>
      </c>
    </row>
    <row r="286" spans="2:9" ht="16.5" customHeight="1" x14ac:dyDescent="0.25">
      <c r="B286" s="4"/>
      <c r="C286" s="4"/>
      <c r="D286" s="4"/>
      <c r="E286" s="4"/>
      <c r="F286" s="5" t="str">
        <f>IFERROR(IF(E286="","",VLOOKUP(E286,Catalogo!$B$10:$D$209,2,0)),"")</f>
        <v/>
      </c>
      <c r="G286" s="5" t="str">
        <f>IFERROR(IF(E286="","",VLOOKUP(E286,Catalogo!$B$10:$D$209,3,0)),"")</f>
        <v/>
      </c>
      <c r="H286" s="4"/>
      <c r="I286" s="4" t="str">
        <f>IF(E286="","",SUMPRODUCT((E$9:E286=E286)*(C$9:C286&lt;&gt;"Salida")*H$9:H286)-SUMPRODUCT((E$9:E286=E286)*(C$9:C286="Salida")*H$9:H286))</f>
        <v/>
      </c>
    </row>
    <row r="287" spans="2:9" ht="16.5" customHeight="1" x14ac:dyDescent="0.25">
      <c r="B287" s="6"/>
      <c r="C287" s="6"/>
      <c r="D287" s="6"/>
      <c r="E287" s="6"/>
      <c r="F287" s="7" t="str">
        <f>IFERROR(IF(E287="","",VLOOKUP(E287,Catalogo!$B$10:$D$209,2,0)),"")</f>
        <v/>
      </c>
      <c r="G287" s="7" t="str">
        <f>IFERROR(IF(E287="","",VLOOKUP(E287,Catalogo!$B$10:$D$209,3,0)),"")</f>
        <v/>
      </c>
      <c r="H287" s="6"/>
      <c r="I287" s="6" t="str">
        <f>IF(E287="","",SUMPRODUCT((E$9:E287=E287)*(C$9:C287&lt;&gt;"Salida")*H$9:H287)-SUMPRODUCT((E$9:E287=E287)*(C$9:C287="Salida")*H$9:H287))</f>
        <v/>
      </c>
    </row>
    <row r="288" spans="2:9" ht="16.5" customHeight="1" x14ac:dyDescent="0.25">
      <c r="B288" s="4"/>
      <c r="C288" s="4"/>
      <c r="D288" s="4"/>
      <c r="E288" s="4"/>
      <c r="F288" s="5" t="str">
        <f>IFERROR(IF(E288="","",VLOOKUP(E288,Catalogo!$B$10:$D$209,2,0)),"")</f>
        <v/>
      </c>
      <c r="G288" s="5" t="str">
        <f>IFERROR(IF(E288="","",VLOOKUP(E288,Catalogo!$B$10:$D$209,3,0)),"")</f>
        <v/>
      </c>
      <c r="H288" s="4"/>
      <c r="I288" s="4" t="str">
        <f>IF(E288="","",SUMPRODUCT((E$9:E288=E288)*(C$9:C288&lt;&gt;"Salida")*H$9:H288)-SUMPRODUCT((E$9:E288=E288)*(C$9:C288="Salida")*H$9:H288))</f>
        <v/>
      </c>
    </row>
    <row r="289" spans="2:9" ht="16.5" customHeight="1" x14ac:dyDescent="0.25">
      <c r="B289" s="6"/>
      <c r="C289" s="6"/>
      <c r="D289" s="6"/>
      <c r="E289" s="6"/>
      <c r="F289" s="7" t="str">
        <f>IFERROR(IF(E289="","",VLOOKUP(E289,Catalogo!$B$10:$D$209,2,0)),"")</f>
        <v/>
      </c>
      <c r="G289" s="7" t="str">
        <f>IFERROR(IF(E289="","",VLOOKUP(E289,Catalogo!$B$10:$D$209,3,0)),"")</f>
        <v/>
      </c>
      <c r="H289" s="6"/>
      <c r="I289" s="6" t="str">
        <f>IF(E289="","",SUMPRODUCT((E$9:E289=E289)*(C$9:C289&lt;&gt;"Salida")*H$9:H289)-SUMPRODUCT((E$9:E289=E289)*(C$9:C289="Salida")*H$9:H289))</f>
        <v/>
      </c>
    </row>
    <row r="290" spans="2:9" ht="16.5" customHeight="1" x14ac:dyDescent="0.25">
      <c r="B290" s="4"/>
      <c r="C290" s="4"/>
      <c r="D290" s="4"/>
      <c r="E290" s="4"/>
      <c r="F290" s="5" t="str">
        <f>IFERROR(IF(E290="","",VLOOKUP(E290,Catalogo!$B$10:$D$209,2,0)),"")</f>
        <v/>
      </c>
      <c r="G290" s="5" t="str">
        <f>IFERROR(IF(E290="","",VLOOKUP(E290,Catalogo!$B$10:$D$209,3,0)),"")</f>
        <v/>
      </c>
      <c r="H290" s="4"/>
      <c r="I290" s="4" t="str">
        <f>IF(E290="","",SUMPRODUCT((E$9:E290=E290)*(C$9:C290&lt;&gt;"Salida")*H$9:H290)-SUMPRODUCT((E$9:E290=E290)*(C$9:C290="Salida")*H$9:H290))</f>
        <v/>
      </c>
    </row>
    <row r="291" spans="2:9" ht="16.5" customHeight="1" x14ac:dyDescent="0.25">
      <c r="B291" s="6"/>
      <c r="C291" s="6"/>
      <c r="D291" s="6"/>
      <c r="E291" s="6"/>
      <c r="F291" s="7" t="str">
        <f>IFERROR(IF(E291="","",VLOOKUP(E291,Catalogo!$B$10:$D$209,2,0)),"")</f>
        <v/>
      </c>
      <c r="G291" s="7" t="str">
        <f>IFERROR(IF(E291="","",VLOOKUP(E291,Catalogo!$B$10:$D$209,3,0)),"")</f>
        <v/>
      </c>
      <c r="H291" s="6"/>
      <c r="I291" s="6" t="str">
        <f>IF(E291="","",SUMPRODUCT((E$9:E291=E291)*(C$9:C291&lt;&gt;"Salida")*H$9:H291)-SUMPRODUCT((E$9:E291=E291)*(C$9:C291="Salida")*H$9:H291))</f>
        <v/>
      </c>
    </row>
    <row r="292" spans="2:9" ht="16.5" customHeight="1" x14ac:dyDescent="0.25">
      <c r="B292" s="4"/>
      <c r="C292" s="4"/>
      <c r="D292" s="4"/>
      <c r="E292" s="4"/>
      <c r="F292" s="5" t="str">
        <f>IFERROR(IF(E292="","",VLOOKUP(E292,Catalogo!$B$10:$D$209,2,0)),"")</f>
        <v/>
      </c>
      <c r="G292" s="5" t="str">
        <f>IFERROR(IF(E292="","",VLOOKUP(E292,Catalogo!$B$10:$D$209,3,0)),"")</f>
        <v/>
      </c>
      <c r="H292" s="4"/>
      <c r="I292" s="4" t="str">
        <f>IF(E292="","",SUMPRODUCT((E$9:E292=E292)*(C$9:C292&lt;&gt;"Salida")*H$9:H292)-SUMPRODUCT((E$9:E292=E292)*(C$9:C292="Salida")*H$9:H292))</f>
        <v/>
      </c>
    </row>
    <row r="293" spans="2:9" ht="16.5" customHeight="1" x14ac:dyDescent="0.25">
      <c r="B293" s="6"/>
      <c r="C293" s="6"/>
      <c r="D293" s="6"/>
      <c r="E293" s="6"/>
      <c r="F293" s="7" t="str">
        <f>IFERROR(IF(E293="","",VLOOKUP(E293,Catalogo!$B$10:$D$209,2,0)),"")</f>
        <v/>
      </c>
      <c r="G293" s="7" t="str">
        <f>IFERROR(IF(E293="","",VLOOKUP(E293,Catalogo!$B$10:$D$209,3,0)),"")</f>
        <v/>
      </c>
      <c r="H293" s="6"/>
      <c r="I293" s="6" t="str">
        <f>IF(E293="","",SUMPRODUCT((E$9:E293=E293)*(C$9:C293&lt;&gt;"Salida")*H$9:H293)-SUMPRODUCT((E$9:E293=E293)*(C$9:C293="Salida")*H$9:H293))</f>
        <v/>
      </c>
    </row>
    <row r="294" spans="2:9" ht="16.5" customHeight="1" x14ac:dyDescent="0.25">
      <c r="B294" s="4"/>
      <c r="C294" s="4"/>
      <c r="D294" s="4"/>
      <c r="E294" s="4"/>
      <c r="F294" s="5" t="str">
        <f>IFERROR(IF(E294="","",VLOOKUP(E294,Catalogo!$B$10:$D$209,2,0)),"")</f>
        <v/>
      </c>
      <c r="G294" s="5" t="str">
        <f>IFERROR(IF(E294="","",VLOOKUP(E294,Catalogo!$B$10:$D$209,3,0)),"")</f>
        <v/>
      </c>
      <c r="H294" s="4"/>
      <c r="I294" s="4" t="str">
        <f>IF(E294="","",SUMPRODUCT((E$9:E294=E294)*(C$9:C294&lt;&gt;"Salida")*H$9:H294)-SUMPRODUCT((E$9:E294=E294)*(C$9:C294="Salida")*H$9:H294))</f>
        <v/>
      </c>
    </row>
    <row r="295" spans="2:9" ht="16.5" customHeight="1" x14ac:dyDescent="0.25">
      <c r="B295" s="6"/>
      <c r="C295" s="6"/>
      <c r="D295" s="6"/>
      <c r="E295" s="6"/>
      <c r="F295" s="7" t="str">
        <f>IFERROR(IF(E295="","",VLOOKUP(E295,Catalogo!$B$10:$D$209,2,0)),"")</f>
        <v/>
      </c>
      <c r="G295" s="7" t="str">
        <f>IFERROR(IF(E295="","",VLOOKUP(E295,Catalogo!$B$10:$D$209,3,0)),"")</f>
        <v/>
      </c>
      <c r="H295" s="6"/>
      <c r="I295" s="6" t="str">
        <f>IF(E295="","",SUMPRODUCT((E$9:E295=E295)*(C$9:C295&lt;&gt;"Salida")*H$9:H295)-SUMPRODUCT((E$9:E295=E295)*(C$9:C295="Salida")*H$9:H295))</f>
        <v/>
      </c>
    </row>
    <row r="296" spans="2:9" ht="16.5" customHeight="1" x14ac:dyDescent="0.25">
      <c r="B296" s="4"/>
      <c r="C296" s="4"/>
      <c r="D296" s="4"/>
      <c r="E296" s="4"/>
      <c r="F296" s="5" t="str">
        <f>IFERROR(IF(E296="","",VLOOKUP(E296,Catalogo!$B$10:$D$209,2,0)),"")</f>
        <v/>
      </c>
      <c r="G296" s="5" t="str">
        <f>IFERROR(IF(E296="","",VLOOKUP(E296,Catalogo!$B$10:$D$209,3,0)),"")</f>
        <v/>
      </c>
      <c r="H296" s="4"/>
      <c r="I296" s="4" t="str">
        <f>IF(E296="","",SUMPRODUCT((E$9:E296=E296)*(C$9:C296&lt;&gt;"Salida")*H$9:H296)-SUMPRODUCT((E$9:E296=E296)*(C$9:C296="Salida")*H$9:H296))</f>
        <v/>
      </c>
    </row>
    <row r="297" spans="2:9" ht="16.5" customHeight="1" x14ac:dyDescent="0.25">
      <c r="B297" s="6"/>
      <c r="C297" s="6"/>
      <c r="D297" s="6"/>
      <c r="E297" s="6"/>
      <c r="F297" s="7" t="str">
        <f>IFERROR(IF(E297="","",VLOOKUP(E297,Catalogo!$B$10:$D$209,2,0)),"")</f>
        <v/>
      </c>
      <c r="G297" s="7" t="str">
        <f>IFERROR(IF(E297="","",VLOOKUP(E297,Catalogo!$B$10:$D$209,3,0)),"")</f>
        <v/>
      </c>
      <c r="H297" s="6"/>
      <c r="I297" s="6" t="str">
        <f>IF(E297="","",SUMPRODUCT((E$9:E297=E297)*(C$9:C297&lt;&gt;"Salida")*H$9:H297)-SUMPRODUCT((E$9:E297=E297)*(C$9:C297="Salida")*H$9:H297))</f>
        <v/>
      </c>
    </row>
    <row r="298" spans="2:9" ht="16.5" customHeight="1" x14ac:dyDescent="0.25">
      <c r="B298" s="4"/>
      <c r="C298" s="4"/>
      <c r="D298" s="4"/>
      <c r="E298" s="4"/>
      <c r="F298" s="5" t="str">
        <f>IFERROR(IF(E298="","",VLOOKUP(E298,Catalogo!$B$10:$D$209,2,0)),"")</f>
        <v/>
      </c>
      <c r="G298" s="5" t="str">
        <f>IFERROR(IF(E298="","",VLOOKUP(E298,Catalogo!$B$10:$D$209,3,0)),"")</f>
        <v/>
      </c>
      <c r="H298" s="4"/>
      <c r="I298" s="4" t="str">
        <f>IF(E298="","",SUMPRODUCT((E$9:E298=E298)*(C$9:C298&lt;&gt;"Salida")*H$9:H298)-SUMPRODUCT((E$9:E298=E298)*(C$9:C298="Salida")*H$9:H298))</f>
        <v/>
      </c>
    </row>
    <row r="299" spans="2:9" ht="16.5" customHeight="1" x14ac:dyDescent="0.25">
      <c r="B299" s="6"/>
      <c r="C299" s="6"/>
      <c r="D299" s="6"/>
      <c r="E299" s="6"/>
      <c r="F299" s="7" t="str">
        <f>IFERROR(IF(E299="","",VLOOKUP(E299,Catalogo!$B$10:$D$209,2,0)),"")</f>
        <v/>
      </c>
      <c r="G299" s="7" t="str">
        <f>IFERROR(IF(E299="","",VLOOKUP(E299,Catalogo!$B$10:$D$209,3,0)),"")</f>
        <v/>
      </c>
      <c r="H299" s="6"/>
      <c r="I299" s="6" t="str">
        <f>IF(E299="","",SUMPRODUCT((E$9:E299=E299)*(C$9:C299&lt;&gt;"Salida")*H$9:H299)-SUMPRODUCT((E$9:E299=E299)*(C$9:C299="Salida")*H$9:H299))</f>
        <v/>
      </c>
    </row>
    <row r="300" spans="2:9" ht="16.5" customHeight="1" x14ac:dyDescent="0.25">
      <c r="B300" s="4"/>
      <c r="C300" s="4"/>
      <c r="D300" s="4"/>
      <c r="E300" s="4"/>
      <c r="F300" s="5" t="str">
        <f>IFERROR(IF(E300="","",VLOOKUP(E300,Catalogo!$B$10:$D$209,2,0)),"")</f>
        <v/>
      </c>
      <c r="G300" s="5" t="str">
        <f>IFERROR(IF(E300="","",VLOOKUP(E300,Catalogo!$B$10:$D$209,3,0)),"")</f>
        <v/>
      </c>
      <c r="H300" s="4"/>
      <c r="I300" s="4" t="str">
        <f>IF(E300="","",SUMPRODUCT((E$9:E300=E300)*(C$9:C300&lt;&gt;"Salida")*H$9:H300)-SUMPRODUCT((E$9:E300=E300)*(C$9:C300="Salida")*H$9:H300))</f>
        <v/>
      </c>
    </row>
    <row r="301" spans="2:9" ht="16.5" customHeight="1" x14ac:dyDescent="0.25">
      <c r="B301" s="6"/>
      <c r="C301" s="6"/>
      <c r="D301" s="6"/>
      <c r="E301" s="6"/>
      <c r="F301" s="7" t="str">
        <f>IFERROR(IF(E301="","",VLOOKUP(E301,Catalogo!$B$10:$D$209,2,0)),"")</f>
        <v/>
      </c>
      <c r="G301" s="7" t="str">
        <f>IFERROR(IF(E301="","",VLOOKUP(E301,Catalogo!$B$10:$D$209,3,0)),"")</f>
        <v/>
      </c>
      <c r="H301" s="6"/>
      <c r="I301" s="6" t="str">
        <f>IF(E301="","",SUMPRODUCT((E$9:E301=E301)*(C$9:C301&lt;&gt;"Salida")*H$9:H301)-SUMPRODUCT((E$9:E301=E301)*(C$9:C301="Salida")*H$9:H301))</f>
        <v/>
      </c>
    </row>
    <row r="302" spans="2:9" ht="16.5" customHeight="1" x14ac:dyDescent="0.25">
      <c r="B302" s="4"/>
      <c r="C302" s="4"/>
      <c r="D302" s="4"/>
      <c r="E302" s="4"/>
      <c r="F302" s="5" t="str">
        <f>IFERROR(IF(E302="","",VLOOKUP(E302,Catalogo!$B$10:$D$209,2,0)),"")</f>
        <v/>
      </c>
      <c r="G302" s="5" t="str">
        <f>IFERROR(IF(E302="","",VLOOKUP(E302,Catalogo!$B$10:$D$209,3,0)),"")</f>
        <v/>
      </c>
      <c r="H302" s="4"/>
      <c r="I302" s="4" t="str">
        <f>IF(E302="","",SUMPRODUCT((E$9:E302=E302)*(C$9:C302&lt;&gt;"Salida")*H$9:H302)-SUMPRODUCT((E$9:E302=E302)*(C$9:C302="Salida")*H$9:H302))</f>
        <v/>
      </c>
    </row>
    <row r="303" spans="2:9" ht="16.5" customHeight="1" x14ac:dyDescent="0.25">
      <c r="B303" s="6"/>
      <c r="C303" s="6"/>
      <c r="D303" s="6"/>
      <c r="E303" s="6"/>
      <c r="F303" s="7" t="str">
        <f>IFERROR(IF(E303="","",VLOOKUP(E303,Catalogo!$B$10:$D$209,2,0)),"")</f>
        <v/>
      </c>
      <c r="G303" s="7" t="str">
        <f>IFERROR(IF(E303="","",VLOOKUP(E303,Catalogo!$B$10:$D$209,3,0)),"")</f>
        <v/>
      </c>
      <c r="H303" s="6"/>
      <c r="I303" s="6" t="str">
        <f>IF(E303="","",SUMPRODUCT((E$9:E303=E303)*(C$9:C303&lt;&gt;"Salida")*H$9:H303)-SUMPRODUCT((E$9:E303=E303)*(C$9:C303="Salida")*H$9:H303))</f>
        <v/>
      </c>
    </row>
    <row r="304" spans="2:9" ht="16.5" customHeight="1" x14ac:dyDescent="0.25">
      <c r="B304" s="4"/>
      <c r="C304" s="4"/>
      <c r="D304" s="4"/>
      <c r="E304" s="4"/>
      <c r="F304" s="5" t="str">
        <f>IFERROR(IF(E304="","",VLOOKUP(E304,Catalogo!$B$10:$D$209,2,0)),"")</f>
        <v/>
      </c>
      <c r="G304" s="5" t="str">
        <f>IFERROR(IF(E304="","",VLOOKUP(E304,Catalogo!$B$10:$D$209,3,0)),"")</f>
        <v/>
      </c>
      <c r="H304" s="4"/>
      <c r="I304" s="4" t="str">
        <f>IF(E304="","",SUMPRODUCT((E$9:E304=E304)*(C$9:C304&lt;&gt;"Salida")*H$9:H304)-SUMPRODUCT((E$9:E304=E304)*(C$9:C304="Salida")*H$9:H304))</f>
        <v/>
      </c>
    </row>
    <row r="305" spans="2:9" ht="16.5" customHeight="1" x14ac:dyDescent="0.25">
      <c r="B305" s="6"/>
      <c r="C305" s="6"/>
      <c r="D305" s="6"/>
      <c r="E305" s="6"/>
      <c r="F305" s="7" t="str">
        <f>IFERROR(IF(E305="","",VLOOKUP(E305,Catalogo!$B$10:$D$209,2,0)),"")</f>
        <v/>
      </c>
      <c r="G305" s="7" t="str">
        <f>IFERROR(IF(E305="","",VLOOKUP(E305,Catalogo!$B$10:$D$209,3,0)),"")</f>
        <v/>
      </c>
      <c r="H305" s="6"/>
      <c r="I305" s="6" t="str">
        <f>IF(E305="","",SUMPRODUCT((E$9:E305=E305)*(C$9:C305&lt;&gt;"Salida")*H$9:H305)-SUMPRODUCT((E$9:E305=E305)*(C$9:C305="Salida")*H$9:H305))</f>
        <v/>
      </c>
    </row>
    <row r="306" spans="2:9" ht="16.5" customHeight="1" x14ac:dyDescent="0.25">
      <c r="B306" s="4"/>
      <c r="C306" s="4"/>
      <c r="D306" s="4"/>
      <c r="E306" s="4"/>
      <c r="F306" s="5" t="str">
        <f>IFERROR(IF(E306="","",VLOOKUP(E306,Catalogo!$B$10:$D$209,2,0)),"")</f>
        <v/>
      </c>
      <c r="G306" s="5" t="str">
        <f>IFERROR(IF(E306="","",VLOOKUP(E306,Catalogo!$B$10:$D$209,3,0)),"")</f>
        <v/>
      </c>
      <c r="H306" s="4"/>
      <c r="I306" s="4" t="str">
        <f>IF(E306="","",SUMPRODUCT((E$9:E306=E306)*(C$9:C306&lt;&gt;"Salida")*H$9:H306)-SUMPRODUCT((E$9:E306=E306)*(C$9:C306="Salida")*H$9:H306))</f>
        <v/>
      </c>
    </row>
    <row r="307" spans="2:9" ht="16.5" customHeight="1" x14ac:dyDescent="0.25">
      <c r="B307" s="6"/>
      <c r="C307" s="6"/>
      <c r="D307" s="6"/>
      <c r="E307" s="6"/>
      <c r="F307" s="7" t="str">
        <f>IFERROR(IF(E307="","",VLOOKUP(E307,Catalogo!$B$10:$D$209,2,0)),"")</f>
        <v/>
      </c>
      <c r="G307" s="7" t="str">
        <f>IFERROR(IF(E307="","",VLOOKUP(E307,Catalogo!$B$10:$D$209,3,0)),"")</f>
        <v/>
      </c>
      <c r="H307" s="6"/>
      <c r="I307" s="6" t="str">
        <f>IF(E307="","",SUMPRODUCT((E$9:E307=E307)*(C$9:C307&lt;&gt;"Salida")*H$9:H307)-SUMPRODUCT((E$9:E307=E307)*(C$9:C307="Salida")*H$9:H307))</f>
        <v/>
      </c>
    </row>
    <row r="308" spans="2:9" ht="16.5" customHeight="1" x14ac:dyDescent="0.25">
      <c r="B308" s="4"/>
      <c r="C308" s="4"/>
      <c r="D308" s="4"/>
      <c r="E308" s="4"/>
      <c r="F308" s="5" t="str">
        <f>IFERROR(IF(E308="","",VLOOKUP(E308,Catalogo!$B$10:$D$209,2,0)),"")</f>
        <v/>
      </c>
      <c r="G308" s="5" t="str">
        <f>IFERROR(IF(E308="","",VLOOKUP(E308,Catalogo!$B$10:$D$209,3,0)),"")</f>
        <v/>
      </c>
      <c r="H308" s="4"/>
      <c r="I308" s="4" t="str">
        <f>IF(E308="","",SUMPRODUCT((E$9:E308=E308)*(C$9:C308&lt;&gt;"Salida")*H$9:H308)-SUMPRODUCT((E$9:E308=E308)*(C$9:C308="Salida")*H$9:H308))</f>
        <v/>
      </c>
    </row>
    <row r="309" spans="2:9" ht="16.5" customHeight="1" x14ac:dyDescent="0.25">
      <c r="B309" s="6"/>
      <c r="C309" s="6"/>
      <c r="D309" s="6"/>
      <c r="E309" s="6"/>
      <c r="F309" s="7" t="str">
        <f>IFERROR(IF(E309="","",VLOOKUP(E309,Catalogo!$B$10:$D$209,2,0)),"")</f>
        <v/>
      </c>
      <c r="G309" s="7" t="str">
        <f>IFERROR(IF(E309="","",VLOOKUP(E309,Catalogo!$B$10:$D$209,3,0)),"")</f>
        <v/>
      </c>
      <c r="H309" s="6"/>
      <c r="I309" s="6" t="str">
        <f>IF(E309="","",SUMPRODUCT((E$9:E309=E309)*(C$9:C309&lt;&gt;"Salida")*H$9:H309)-SUMPRODUCT((E$9:E309=E309)*(C$9:C309="Salida")*H$9:H309))</f>
        <v/>
      </c>
    </row>
    <row r="310" spans="2:9" ht="16.5" customHeight="1" x14ac:dyDescent="0.25">
      <c r="B310" s="4"/>
      <c r="C310" s="4"/>
      <c r="D310" s="4"/>
      <c r="E310" s="4"/>
      <c r="F310" s="5" t="str">
        <f>IFERROR(IF(E310="","",VLOOKUP(E310,Catalogo!$B$10:$D$209,2,0)),"")</f>
        <v/>
      </c>
      <c r="G310" s="5" t="str">
        <f>IFERROR(IF(E310="","",VLOOKUP(E310,Catalogo!$B$10:$D$209,3,0)),"")</f>
        <v/>
      </c>
      <c r="H310" s="4"/>
      <c r="I310" s="4" t="str">
        <f>IF(E310="","",SUMPRODUCT((E$9:E310=E310)*(C$9:C310&lt;&gt;"Salida")*H$9:H310)-SUMPRODUCT((E$9:E310=E310)*(C$9:C310="Salida")*H$9:H310))</f>
        <v/>
      </c>
    </row>
    <row r="311" spans="2:9" ht="16.5" customHeight="1" x14ac:dyDescent="0.25">
      <c r="B311" s="6"/>
      <c r="C311" s="6"/>
      <c r="D311" s="6"/>
      <c r="E311" s="6"/>
      <c r="F311" s="7" t="str">
        <f>IFERROR(IF(E311="","",VLOOKUP(E311,Catalogo!$B$10:$D$209,2,0)),"")</f>
        <v/>
      </c>
      <c r="G311" s="7" t="str">
        <f>IFERROR(IF(E311="","",VLOOKUP(E311,Catalogo!$B$10:$D$209,3,0)),"")</f>
        <v/>
      </c>
      <c r="H311" s="6"/>
      <c r="I311" s="6" t="str">
        <f>IF(E311="","",SUMPRODUCT((E$9:E311=E311)*(C$9:C311&lt;&gt;"Salida")*H$9:H311)-SUMPRODUCT((E$9:E311=E311)*(C$9:C311="Salida")*H$9:H311))</f>
        <v/>
      </c>
    </row>
    <row r="312" spans="2:9" ht="16.5" customHeight="1" x14ac:dyDescent="0.25">
      <c r="B312" s="4"/>
      <c r="C312" s="4"/>
      <c r="D312" s="4"/>
      <c r="E312" s="4"/>
      <c r="F312" s="5" t="str">
        <f>IFERROR(IF(E312="","",VLOOKUP(E312,Catalogo!$B$10:$D$209,2,0)),"")</f>
        <v/>
      </c>
      <c r="G312" s="5" t="str">
        <f>IFERROR(IF(E312="","",VLOOKUP(E312,Catalogo!$B$10:$D$209,3,0)),"")</f>
        <v/>
      </c>
      <c r="H312" s="4"/>
      <c r="I312" s="4" t="str">
        <f>IF(E312="","",SUMPRODUCT((E$9:E312=E312)*(C$9:C312&lt;&gt;"Salida")*H$9:H312)-SUMPRODUCT((E$9:E312=E312)*(C$9:C312="Salida")*H$9:H312))</f>
        <v/>
      </c>
    </row>
    <row r="313" spans="2:9" ht="16.5" customHeight="1" x14ac:dyDescent="0.25">
      <c r="B313" s="6"/>
      <c r="C313" s="6"/>
      <c r="D313" s="6"/>
      <c r="E313" s="6"/>
      <c r="F313" s="7" t="str">
        <f>IFERROR(IF(E313="","",VLOOKUP(E313,Catalogo!$B$10:$D$209,2,0)),"")</f>
        <v/>
      </c>
      <c r="G313" s="7" t="str">
        <f>IFERROR(IF(E313="","",VLOOKUP(E313,Catalogo!$B$10:$D$209,3,0)),"")</f>
        <v/>
      </c>
      <c r="H313" s="6"/>
      <c r="I313" s="6" t="str">
        <f>IF(E313="","",SUMPRODUCT((E$9:E313=E313)*(C$9:C313&lt;&gt;"Salida")*H$9:H313)-SUMPRODUCT((E$9:E313=E313)*(C$9:C313="Salida")*H$9:H313))</f>
        <v/>
      </c>
    </row>
    <row r="314" spans="2:9" ht="16.5" customHeight="1" x14ac:dyDescent="0.25">
      <c r="B314" s="4"/>
      <c r="C314" s="4"/>
      <c r="D314" s="4"/>
      <c r="E314" s="4"/>
      <c r="F314" s="5" t="str">
        <f>IFERROR(IF(E314="","",VLOOKUP(E314,Catalogo!$B$10:$D$209,2,0)),"")</f>
        <v/>
      </c>
      <c r="G314" s="5" t="str">
        <f>IFERROR(IF(E314="","",VLOOKUP(E314,Catalogo!$B$10:$D$209,3,0)),"")</f>
        <v/>
      </c>
      <c r="H314" s="4"/>
      <c r="I314" s="4" t="str">
        <f>IF(E314="","",SUMPRODUCT((E$9:E314=E314)*(C$9:C314&lt;&gt;"Salida")*H$9:H314)-SUMPRODUCT((E$9:E314=E314)*(C$9:C314="Salida")*H$9:H314))</f>
        <v/>
      </c>
    </row>
    <row r="315" spans="2:9" ht="16.5" customHeight="1" x14ac:dyDescent="0.25">
      <c r="B315" s="6"/>
      <c r="C315" s="6"/>
      <c r="D315" s="6"/>
      <c r="E315" s="6"/>
      <c r="F315" s="7" t="str">
        <f>IFERROR(IF(E315="","",VLOOKUP(E315,Catalogo!$B$10:$D$209,2,0)),"")</f>
        <v/>
      </c>
      <c r="G315" s="7" t="str">
        <f>IFERROR(IF(E315="","",VLOOKUP(E315,Catalogo!$B$10:$D$209,3,0)),"")</f>
        <v/>
      </c>
      <c r="H315" s="6"/>
      <c r="I315" s="6" t="str">
        <f>IF(E315="","",SUMPRODUCT((E$9:E315=E315)*(C$9:C315&lt;&gt;"Salida")*H$9:H315)-SUMPRODUCT((E$9:E315=E315)*(C$9:C315="Salida")*H$9:H315))</f>
        <v/>
      </c>
    </row>
    <row r="316" spans="2:9" ht="16.5" customHeight="1" x14ac:dyDescent="0.25">
      <c r="B316" s="4"/>
      <c r="C316" s="4"/>
      <c r="D316" s="4"/>
      <c r="E316" s="4"/>
      <c r="F316" s="5" t="str">
        <f>IFERROR(IF(E316="","",VLOOKUP(E316,Catalogo!$B$10:$D$209,2,0)),"")</f>
        <v/>
      </c>
      <c r="G316" s="5" t="str">
        <f>IFERROR(IF(E316="","",VLOOKUP(E316,Catalogo!$B$10:$D$209,3,0)),"")</f>
        <v/>
      </c>
      <c r="H316" s="4"/>
      <c r="I316" s="4" t="str">
        <f>IF(E316="","",SUMPRODUCT((E$9:E316=E316)*(C$9:C316&lt;&gt;"Salida")*H$9:H316)-SUMPRODUCT((E$9:E316=E316)*(C$9:C316="Salida")*H$9:H316))</f>
        <v/>
      </c>
    </row>
    <row r="317" spans="2:9" ht="16.5" customHeight="1" x14ac:dyDescent="0.25">
      <c r="B317" s="6"/>
      <c r="C317" s="6"/>
      <c r="D317" s="6"/>
      <c r="E317" s="6"/>
      <c r="F317" s="7" t="str">
        <f>IFERROR(IF(E317="","",VLOOKUP(E317,Catalogo!$B$10:$D$209,2,0)),"")</f>
        <v/>
      </c>
      <c r="G317" s="7" t="str">
        <f>IFERROR(IF(E317="","",VLOOKUP(E317,Catalogo!$B$10:$D$209,3,0)),"")</f>
        <v/>
      </c>
      <c r="H317" s="6"/>
      <c r="I317" s="6" t="str">
        <f>IF(E317="","",SUMPRODUCT((E$9:E317=E317)*(C$9:C317&lt;&gt;"Salida")*H$9:H317)-SUMPRODUCT((E$9:E317=E317)*(C$9:C317="Salida")*H$9:H317))</f>
        <v/>
      </c>
    </row>
    <row r="318" spans="2:9" ht="16.5" customHeight="1" x14ac:dyDescent="0.25">
      <c r="B318" s="4"/>
      <c r="C318" s="4"/>
      <c r="D318" s="4"/>
      <c r="E318" s="4"/>
      <c r="F318" s="5" t="str">
        <f>IFERROR(IF(E318="","",VLOOKUP(E318,Catalogo!$B$10:$D$209,2,0)),"")</f>
        <v/>
      </c>
      <c r="G318" s="5" t="str">
        <f>IFERROR(IF(E318="","",VLOOKUP(E318,Catalogo!$B$10:$D$209,3,0)),"")</f>
        <v/>
      </c>
      <c r="H318" s="4"/>
      <c r="I318" s="4" t="str">
        <f>IF(E318="","",SUMPRODUCT((E$9:E318=E318)*(C$9:C318&lt;&gt;"Salida")*H$9:H318)-SUMPRODUCT((E$9:E318=E318)*(C$9:C318="Salida")*H$9:H318))</f>
        <v/>
      </c>
    </row>
    <row r="319" spans="2:9" ht="16.5" customHeight="1" x14ac:dyDescent="0.25">
      <c r="B319" s="6"/>
      <c r="C319" s="6"/>
      <c r="D319" s="6"/>
      <c r="E319" s="6"/>
      <c r="F319" s="7" t="str">
        <f>IFERROR(IF(E319="","",VLOOKUP(E319,Catalogo!$B$10:$D$209,2,0)),"")</f>
        <v/>
      </c>
      <c r="G319" s="7" t="str">
        <f>IFERROR(IF(E319="","",VLOOKUP(E319,Catalogo!$B$10:$D$209,3,0)),"")</f>
        <v/>
      </c>
      <c r="H319" s="6"/>
      <c r="I319" s="6" t="str">
        <f>IF(E319="","",SUMPRODUCT((E$9:E319=E319)*(C$9:C319&lt;&gt;"Salida")*H$9:H319)-SUMPRODUCT((E$9:E319=E319)*(C$9:C319="Salida")*H$9:H319))</f>
        <v/>
      </c>
    </row>
    <row r="320" spans="2:9" ht="16.5" customHeight="1" x14ac:dyDescent="0.25">
      <c r="B320" s="4"/>
      <c r="C320" s="4"/>
      <c r="D320" s="4"/>
      <c r="E320" s="4"/>
      <c r="F320" s="5" t="str">
        <f>IFERROR(IF(E320="","",VLOOKUP(E320,Catalogo!$B$10:$D$209,2,0)),"")</f>
        <v/>
      </c>
      <c r="G320" s="5" t="str">
        <f>IFERROR(IF(E320="","",VLOOKUP(E320,Catalogo!$B$10:$D$209,3,0)),"")</f>
        <v/>
      </c>
      <c r="H320" s="4"/>
      <c r="I320" s="4" t="str">
        <f>IF(E320="","",SUMPRODUCT((E$9:E320=E320)*(C$9:C320&lt;&gt;"Salida")*H$9:H320)-SUMPRODUCT((E$9:E320=E320)*(C$9:C320="Salida")*H$9:H320))</f>
        <v/>
      </c>
    </row>
    <row r="321" spans="2:9" ht="16.5" customHeight="1" x14ac:dyDescent="0.25">
      <c r="B321" s="6"/>
      <c r="C321" s="6"/>
      <c r="D321" s="6"/>
      <c r="E321" s="6"/>
      <c r="F321" s="7" t="str">
        <f>IFERROR(IF(E321="","",VLOOKUP(E321,Catalogo!$B$10:$D$209,2,0)),"")</f>
        <v/>
      </c>
      <c r="G321" s="7" t="str">
        <f>IFERROR(IF(E321="","",VLOOKUP(E321,Catalogo!$B$10:$D$209,3,0)),"")</f>
        <v/>
      </c>
      <c r="H321" s="6"/>
      <c r="I321" s="6" t="str">
        <f>IF(E321="","",SUMPRODUCT((E$9:E321=E321)*(C$9:C321&lt;&gt;"Salida")*H$9:H321)-SUMPRODUCT((E$9:E321=E321)*(C$9:C321="Salida")*H$9:H321))</f>
        <v/>
      </c>
    </row>
    <row r="322" spans="2:9" ht="16.5" customHeight="1" x14ac:dyDescent="0.25">
      <c r="B322" s="4"/>
      <c r="C322" s="4"/>
      <c r="D322" s="4"/>
      <c r="E322" s="4"/>
      <c r="F322" s="5" t="str">
        <f>IFERROR(IF(E322="","",VLOOKUP(E322,Catalogo!$B$10:$D$209,2,0)),"")</f>
        <v/>
      </c>
      <c r="G322" s="5" t="str">
        <f>IFERROR(IF(E322="","",VLOOKUP(E322,Catalogo!$B$10:$D$209,3,0)),"")</f>
        <v/>
      </c>
      <c r="H322" s="4"/>
      <c r="I322" s="4" t="str">
        <f>IF(E322="","",SUMPRODUCT((E$9:E322=E322)*(C$9:C322&lt;&gt;"Salida")*H$9:H322)-SUMPRODUCT((E$9:E322=E322)*(C$9:C322="Salida")*H$9:H322))</f>
        <v/>
      </c>
    </row>
    <row r="323" spans="2:9" ht="16.5" customHeight="1" x14ac:dyDescent="0.25">
      <c r="B323" s="6"/>
      <c r="C323" s="6"/>
      <c r="D323" s="6"/>
      <c r="E323" s="6"/>
      <c r="F323" s="7" t="str">
        <f>IFERROR(IF(E323="","",VLOOKUP(E323,Catalogo!$B$10:$D$209,2,0)),"")</f>
        <v/>
      </c>
      <c r="G323" s="7" t="str">
        <f>IFERROR(IF(E323="","",VLOOKUP(E323,Catalogo!$B$10:$D$209,3,0)),"")</f>
        <v/>
      </c>
      <c r="H323" s="6"/>
      <c r="I323" s="6" t="str">
        <f>IF(E323="","",SUMPRODUCT((E$9:E323=E323)*(C$9:C323&lt;&gt;"Salida")*H$9:H323)-SUMPRODUCT((E$9:E323=E323)*(C$9:C323="Salida")*H$9:H323))</f>
        <v/>
      </c>
    </row>
    <row r="324" spans="2:9" ht="16.5" customHeight="1" x14ac:dyDescent="0.25">
      <c r="B324" s="4"/>
      <c r="C324" s="4"/>
      <c r="D324" s="4"/>
      <c r="E324" s="4"/>
      <c r="F324" s="5" t="str">
        <f>IFERROR(IF(E324="","",VLOOKUP(E324,Catalogo!$B$10:$D$209,2,0)),"")</f>
        <v/>
      </c>
      <c r="G324" s="5" t="str">
        <f>IFERROR(IF(E324="","",VLOOKUP(E324,Catalogo!$B$10:$D$209,3,0)),"")</f>
        <v/>
      </c>
      <c r="H324" s="4"/>
      <c r="I324" s="4" t="str">
        <f>IF(E324="","",SUMPRODUCT((E$9:E324=E324)*(C$9:C324&lt;&gt;"Salida")*H$9:H324)-SUMPRODUCT((E$9:E324=E324)*(C$9:C324="Salida")*H$9:H324))</f>
        <v/>
      </c>
    </row>
    <row r="325" spans="2:9" ht="16.5" customHeight="1" x14ac:dyDescent="0.25">
      <c r="B325" s="6"/>
      <c r="C325" s="6"/>
      <c r="D325" s="6"/>
      <c r="E325" s="6"/>
      <c r="F325" s="7" t="str">
        <f>IFERROR(IF(E325="","",VLOOKUP(E325,Catalogo!$B$10:$D$209,2,0)),"")</f>
        <v/>
      </c>
      <c r="G325" s="7" t="str">
        <f>IFERROR(IF(E325="","",VLOOKUP(E325,Catalogo!$B$10:$D$209,3,0)),"")</f>
        <v/>
      </c>
      <c r="H325" s="6"/>
      <c r="I325" s="6" t="str">
        <f>IF(E325="","",SUMPRODUCT((E$9:E325=E325)*(C$9:C325&lt;&gt;"Salida")*H$9:H325)-SUMPRODUCT((E$9:E325=E325)*(C$9:C325="Salida")*H$9:H325))</f>
        <v/>
      </c>
    </row>
    <row r="326" spans="2:9" ht="16.5" customHeight="1" x14ac:dyDescent="0.25">
      <c r="B326" s="4"/>
      <c r="C326" s="4"/>
      <c r="D326" s="4"/>
      <c r="E326" s="4"/>
      <c r="F326" s="5" t="str">
        <f>IFERROR(IF(E326="","",VLOOKUP(E326,Catalogo!$B$10:$D$209,2,0)),"")</f>
        <v/>
      </c>
      <c r="G326" s="5" t="str">
        <f>IFERROR(IF(E326="","",VLOOKUP(E326,Catalogo!$B$10:$D$209,3,0)),"")</f>
        <v/>
      </c>
      <c r="H326" s="4"/>
      <c r="I326" s="4" t="str">
        <f>IF(E326="","",SUMPRODUCT((E$9:E326=E326)*(C$9:C326&lt;&gt;"Salida")*H$9:H326)-SUMPRODUCT((E$9:E326=E326)*(C$9:C326="Salida")*H$9:H326))</f>
        <v/>
      </c>
    </row>
    <row r="327" spans="2:9" ht="16.5" customHeight="1" x14ac:dyDescent="0.25">
      <c r="B327" s="6"/>
      <c r="C327" s="6"/>
      <c r="D327" s="6"/>
      <c r="E327" s="6"/>
      <c r="F327" s="7" t="str">
        <f>IFERROR(IF(E327="","",VLOOKUP(E327,Catalogo!$B$10:$D$209,2,0)),"")</f>
        <v/>
      </c>
      <c r="G327" s="7" t="str">
        <f>IFERROR(IF(E327="","",VLOOKUP(E327,Catalogo!$B$10:$D$209,3,0)),"")</f>
        <v/>
      </c>
      <c r="H327" s="6"/>
      <c r="I327" s="6" t="str">
        <f>IF(E327="","",SUMPRODUCT((E$9:E327=E327)*(C$9:C327&lt;&gt;"Salida")*H$9:H327)-SUMPRODUCT((E$9:E327=E327)*(C$9:C327="Salida")*H$9:H327))</f>
        <v/>
      </c>
    </row>
    <row r="328" spans="2:9" ht="16.5" customHeight="1" x14ac:dyDescent="0.25">
      <c r="B328" s="4"/>
      <c r="C328" s="4"/>
      <c r="D328" s="4"/>
      <c r="E328" s="4"/>
      <c r="F328" s="5" t="str">
        <f>IFERROR(IF(E328="","",VLOOKUP(E328,Catalogo!$B$10:$D$209,2,0)),"")</f>
        <v/>
      </c>
      <c r="G328" s="5" t="str">
        <f>IFERROR(IF(E328="","",VLOOKUP(E328,Catalogo!$B$10:$D$209,3,0)),"")</f>
        <v/>
      </c>
      <c r="H328" s="4"/>
      <c r="I328" s="4" t="str">
        <f>IF(E328="","",SUMPRODUCT((E$9:E328=E328)*(C$9:C328&lt;&gt;"Salida")*H$9:H328)-SUMPRODUCT((E$9:E328=E328)*(C$9:C328="Salida")*H$9:H328))</f>
        <v/>
      </c>
    </row>
    <row r="329" spans="2:9" ht="16.5" customHeight="1" x14ac:dyDescent="0.25">
      <c r="B329" s="6"/>
      <c r="C329" s="6"/>
      <c r="D329" s="6"/>
      <c r="E329" s="6"/>
      <c r="F329" s="7" t="str">
        <f>IFERROR(IF(E329="","",VLOOKUP(E329,Catalogo!$B$10:$D$209,2,0)),"")</f>
        <v/>
      </c>
      <c r="G329" s="7" t="str">
        <f>IFERROR(IF(E329="","",VLOOKUP(E329,Catalogo!$B$10:$D$209,3,0)),"")</f>
        <v/>
      </c>
      <c r="H329" s="6"/>
      <c r="I329" s="6" t="str">
        <f>IF(E329="","",SUMPRODUCT((E$9:E329=E329)*(C$9:C329&lt;&gt;"Salida")*H$9:H329)-SUMPRODUCT((E$9:E329=E329)*(C$9:C329="Salida")*H$9:H329))</f>
        <v/>
      </c>
    </row>
    <row r="330" spans="2:9" ht="16.5" customHeight="1" x14ac:dyDescent="0.25">
      <c r="B330" s="4"/>
      <c r="C330" s="4"/>
      <c r="D330" s="4"/>
      <c r="E330" s="4"/>
      <c r="F330" s="5" t="str">
        <f>IFERROR(IF(E330="","",VLOOKUP(E330,Catalogo!$B$10:$D$209,2,0)),"")</f>
        <v/>
      </c>
      <c r="G330" s="5" t="str">
        <f>IFERROR(IF(E330="","",VLOOKUP(E330,Catalogo!$B$10:$D$209,3,0)),"")</f>
        <v/>
      </c>
      <c r="H330" s="4"/>
      <c r="I330" s="4" t="str">
        <f>IF(E330="","",SUMPRODUCT((E$9:E330=E330)*(C$9:C330&lt;&gt;"Salida")*H$9:H330)-SUMPRODUCT((E$9:E330=E330)*(C$9:C330="Salida")*H$9:H330))</f>
        <v/>
      </c>
    </row>
    <row r="331" spans="2:9" ht="16.5" customHeight="1" x14ac:dyDescent="0.25">
      <c r="B331" s="6"/>
      <c r="C331" s="6"/>
      <c r="D331" s="6"/>
      <c r="E331" s="6"/>
      <c r="F331" s="7" t="str">
        <f>IFERROR(IF(E331="","",VLOOKUP(E331,Catalogo!$B$10:$D$209,2,0)),"")</f>
        <v/>
      </c>
      <c r="G331" s="7" t="str">
        <f>IFERROR(IF(E331="","",VLOOKUP(E331,Catalogo!$B$10:$D$209,3,0)),"")</f>
        <v/>
      </c>
      <c r="H331" s="6"/>
      <c r="I331" s="6" t="str">
        <f>IF(E331="","",SUMPRODUCT((E$9:E331=E331)*(C$9:C331&lt;&gt;"Salida")*H$9:H331)-SUMPRODUCT((E$9:E331=E331)*(C$9:C331="Salida")*H$9:H331))</f>
        <v/>
      </c>
    </row>
    <row r="332" spans="2:9" ht="16.5" customHeight="1" x14ac:dyDescent="0.25">
      <c r="B332" s="4"/>
      <c r="C332" s="4"/>
      <c r="D332" s="4"/>
      <c r="E332" s="4"/>
      <c r="F332" s="5" t="str">
        <f>IFERROR(IF(E332="","",VLOOKUP(E332,Catalogo!$B$10:$D$209,2,0)),"")</f>
        <v/>
      </c>
      <c r="G332" s="5" t="str">
        <f>IFERROR(IF(E332="","",VLOOKUP(E332,Catalogo!$B$10:$D$209,3,0)),"")</f>
        <v/>
      </c>
      <c r="H332" s="4"/>
      <c r="I332" s="4" t="str">
        <f>IF(E332="","",SUMPRODUCT((E$9:E332=E332)*(C$9:C332&lt;&gt;"Salida")*H$9:H332)-SUMPRODUCT((E$9:E332=E332)*(C$9:C332="Salida")*H$9:H332))</f>
        <v/>
      </c>
    </row>
    <row r="333" spans="2:9" ht="16.5" customHeight="1" x14ac:dyDescent="0.25">
      <c r="B333" s="6"/>
      <c r="C333" s="6"/>
      <c r="D333" s="6"/>
      <c r="E333" s="6"/>
      <c r="F333" s="7" t="str">
        <f>IFERROR(IF(E333="","",VLOOKUP(E333,Catalogo!$B$10:$D$209,2,0)),"")</f>
        <v/>
      </c>
      <c r="G333" s="7" t="str">
        <f>IFERROR(IF(E333="","",VLOOKUP(E333,Catalogo!$B$10:$D$209,3,0)),"")</f>
        <v/>
      </c>
      <c r="H333" s="6"/>
      <c r="I333" s="6" t="str">
        <f>IF(E333="","",SUMPRODUCT((E$9:E333=E333)*(C$9:C333&lt;&gt;"Salida")*H$9:H333)-SUMPRODUCT((E$9:E333=E333)*(C$9:C333="Salida")*H$9:H333))</f>
        <v/>
      </c>
    </row>
    <row r="334" spans="2:9" ht="16.5" customHeight="1" x14ac:dyDescent="0.25">
      <c r="B334" s="4"/>
      <c r="C334" s="4"/>
      <c r="D334" s="4"/>
      <c r="E334" s="4"/>
      <c r="F334" s="5" t="str">
        <f>IFERROR(IF(E334="","",VLOOKUP(E334,Catalogo!$B$10:$D$209,2,0)),"")</f>
        <v/>
      </c>
      <c r="G334" s="5" t="str">
        <f>IFERROR(IF(E334="","",VLOOKUP(E334,Catalogo!$B$10:$D$209,3,0)),"")</f>
        <v/>
      </c>
      <c r="H334" s="4"/>
      <c r="I334" s="4" t="str">
        <f>IF(E334="","",SUMPRODUCT((E$9:E334=E334)*(C$9:C334&lt;&gt;"Salida")*H$9:H334)-SUMPRODUCT((E$9:E334=E334)*(C$9:C334="Salida")*H$9:H334))</f>
        <v/>
      </c>
    </row>
    <row r="335" spans="2:9" ht="16.5" customHeight="1" x14ac:dyDescent="0.25">
      <c r="B335" s="6"/>
      <c r="C335" s="6"/>
      <c r="D335" s="6"/>
      <c r="E335" s="6"/>
      <c r="F335" s="7" t="str">
        <f>IFERROR(IF(E335="","",VLOOKUP(E335,Catalogo!$B$10:$D$209,2,0)),"")</f>
        <v/>
      </c>
      <c r="G335" s="7" t="str">
        <f>IFERROR(IF(E335="","",VLOOKUP(E335,Catalogo!$B$10:$D$209,3,0)),"")</f>
        <v/>
      </c>
      <c r="H335" s="6"/>
      <c r="I335" s="6" t="str">
        <f>IF(E335="","",SUMPRODUCT((E$9:E335=E335)*(C$9:C335&lt;&gt;"Salida")*H$9:H335)-SUMPRODUCT((E$9:E335=E335)*(C$9:C335="Salida")*H$9:H335))</f>
        <v/>
      </c>
    </row>
    <row r="336" spans="2:9" ht="16.5" customHeight="1" x14ac:dyDescent="0.25">
      <c r="B336" s="4"/>
      <c r="C336" s="4"/>
      <c r="D336" s="4"/>
      <c r="E336" s="4"/>
      <c r="F336" s="5" t="str">
        <f>IFERROR(IF(E336="","",VLOOKUP(E336,Catalogo!$B$10:$D$209,2,0)),"")</f>
        <v/>
      </c>
      <c r="G336" s="5" t="str">
        <f>IFERROR(IF(E336="","",VLOOKUP(E336,Catalogo!$B$10:$D$209,3,0)),"")</f>
        <v/>
      </c>
      <c r="H336" s="4"/>
      <c r="I336" s="4" t="str">
        <f>IF(E336="","",SUMPRODUCT((E$9:E336=E336)*(C$9:C336&lt;&gt;"Salida")*H$9:H336)-SUMPRODUCT((E$9:E336=E336)*(C$9:C336="Salida")*H$9:H336))</f>
        <v/>
      </c>
    </row>
    <row r="337" spans="2:9" ht="16.5" customHeight="1" x14ac:dyDescent="0.25">
      <c r="B337" s="6"/>
      <c r="C337" s="6"/>
      <c r="D337" s="6"/>
      <c r="E337" s="6"/>
      <c r="F337" s="7" t="str">
        <f>IFERROR(IF(E337="","",VLOOKUP(E337,Catalogo!$B$10:$D$209,2,0)),"")</f>
        <v/>
      </c>
      <c r="G337" s="7" t="str">
        <f>IFERROR(IF(E337="","",VLOOKUP(E337,Catalogo!$B$10:$D$209,3,0)),"")</f>
        <v/>
      </c>
      <c r="H337" s="6"/>
      <c r="I337" s="6" t="str">
        <f>IF(E337="","",SUMPRODUCT((E$9:E337=E337)*(C$9:C337&lt;&gt;"Salida")*H$9:H337)-SUMPRODUCT((E$9:E337=E337)*(C$9:C337="Salida")*H$9:H337))</f>
        <v/>
      </c>
    </row>
    <row r="338" spans="2:9" ht="16.5" customHeight="1" x14ac:dyDescent="0.25">
      <c r="B338" s="4"/>
      <c r="C338" s="4"/>
      <c r="D338" s="4"/>
      <c r="E338" s="4"/>
      <c r="F338" s="5" t="str">
        <f>IFERROR(IF(E338="","",VLOOKUP(E338,Catalogo!$B$10:$D$209,2,0)),"")</f>
        <v/>
      </c>
      <c r="G338" s="5" t="str">
        <f>IFERROR(IF(E338="","",VLOOKUP(E338,Catalogo!$B$10:$D$209,3,0)),"")</f>
        <v/>
      </c>
      <c r="H338" s="4"/>
      <c r="I338" s="4" t="str">
        <f>IF(E338="","",SUMPRODUCT((E$9:E338=E338)*(C$9:C338&lt;&gt;"Salida")*H$9:H338)-SUMPRODUCT((E$9:E338=E338)*(C$9:C338="Salida")*H$9:H338))</f>
        <v/>
      </c>
    </row>
    <row r="339" spans="2:9" ht="16.5" customHeight="1" x14ac:dyDescent="0.25">
      <c r="B339" s="6"/>
      <c r="C339" s="6"/>
      <c r="D339" s="6"/>
      <c r="E339" s="6"/>
      <c r="F339" s="7" t="str">
        <f>IFERROR(IF(E339="","",VLOOKUP(E339,Catalogo!$B$10:$D$209,2,0)),"")</f>
        <v/>
      </c>
      <c r="G339" s="7" t="str">
        <f>IFERROR(IF(E339="","",VLOOKUP(E339,Catalogo!$B$10:$D$209,3,0)),"")</f>
        <v/>
      </c>
      <c r="H339" s="6"/>
      <c r="I339" s="6" t="str">
        <f>IF(E339="","",SUMPRODUCT((E$9:E339=E339)*(C$9:C339&lt;&gt;"Salida")*H$9:H339)-SUMPRODUCT((E$9:E339=E339)*(C$9:C339="Salida")*H$9:H339))</f>
        <v/>
      </c>
    </row>
    <row r="340" spans="2:9" ht="16.5" customHeight="1" x14ac:dyDescent="0.25">
      <c r="B340" s="4"/>
      <c r="C340" s="4"/>
      <c r="D340" s="4"/>
      <c r="E340" s="4"/>
      <c r="F340" s="5" t="str">
        <f>IFERROR(IF(E340="","",VLOOKUP(E340,Catalogo!$B$10:$D$209,2,0)),"")</f>
        <v/>
      </c>
      <c r="G340" s="5" t="str">
        <f>IFERROR(IF(E340="","",VLOOKUP(E340,Catalogo!$B$10:$D$209,3,0)),"")</f>
        <v/>
      </c>
      <c r="H340" s="4"/>
      <c r="I340" s="4" t="str">
        <f>IF(E340="","",SUMPRODUCT((E$9:E340=E340)*(C$9:C340&lt;&gt;"Salida")*H$9:H340)-SUMPRODUCT((E$9:E340=E340)*(C$9:C340="Salida")*H$9:H340))</f>
        <v/>
      </c>
    </row>
    <row r="341" spans="2:9" ht="16.5" customHeight="1" x14ac:dyDescent="0.25">
      <c r="B341" s="6"/>
      <c r="C341" s="6"/>
      <c r="D341" s="6"/>
      <c r="E341" s="6"/>
      <c r="F341" s="7" t="str">
        <f>IFERROR(IF(E341="","",VLOOKUP(E341,Catalogo!$B$10:$D$209,2,0)),"")</f>
        <v/>
      </c>
      <c r="G341" s="7" t="str">
        <f>IFERROR(IF(E341="","",VLOOKUP(E341,Catalogo!$B$10:$D$209,3,0)),"")</f>
        <v/>
      </c>
      <c r="H341" s="6"/>
      <c r="I341" s="6" t="str">
        <f>IF(E341="","",SUMPRODUCT((E$9:E341=E341)*(C$9:C341&lt;&gt;"Salida")*H$9:H341)-SUMPRODUCT((E$9:E341=E341)*(C$9:C341="Salida")*H$9:H341))</f>
        <v/>
      </c>
    </row>
    <row r="342" spans="2:9" ht="16.5" customHeight="1" x14ac:dyDescent="0.25">
      <c r="B342" s="4"/>
      <c r="C342" s="4"/>
      <c r="D342" s="4"/>
      <c r="E342" s="4"/>
      <c r="F342" s="5" t="str">
        <f>IFERROR(IF(E342="","",VLOOKUP(E342,Catalogo!$B$10:$D$209,2,0)),"")</f>
        <v/>
      </c>
      <c r="G342" s="5" t="str">
        <f>IFERROR(IF(E342="","",VLOOKUP(E342,Catalogo!$B$10:$D$209,3,0)),"")</f>
        <v/>
      </c>
      <c r="H342" s="4"/>
      <c r="I342" s="4" t="str">
        <f>IF(E342="","",SUMPRODUCT((E$9:E342=E342)*(C$9:C342&lt;&gt;"Salida")*H$9:H342)-SUMPRODUCT((E$9:E342=E342)*(C$9:C342="Salida")*H$9:H342))</f>
        <v/>
      </c>
    </row>
    <row r="343" spans="2:9" ht="16.5" customHeight="1" x14ac:dyDescent="0.25">
      <c r="B343" s="6"/>
      <c r="C343" s="6"/>
      <c r="D343" s="6"/>
      <c r="E343" s="6"/>
      <c r="F343" s="7" t="str">
        <f>IFERROR(IF(E343="","",VLOOKUP(E343,Catalogo!$B$10:$D$209,2,0)),"")</f>
        <v/>
      </c>
      <c r="G343" s="7" t="str">
        <f>IFERROR(IF(E343="","",VLOOKUP(E343,Catalogo!$B$10:$D$209,3,0)),"")</f>
        <v/>
      </c>
      <c r="H343" s="6"/>
      <c r="I343" s="6" t="str">
        <f>IF(E343="","",SUMPRODUCT((E$9:E343=E343)*(C$9:C343&lt;&gt;"Salida")*H$9:H343)-SUMPRODUCT((E$9:E343=E343)*(C$9:C343="Salida")*H$9:H343))</f>
        <v/>
      </c>
    </row>
    <row r="344" spans="2:9" ht="16.5" customHeight="1" x14ac:dyDescent="0.25">
      <c r="B344" s="4"/>
      <c r="C344" s="4"/>
      <c r="D344" s="4"/>
      <c r="E344" s="4"/>
      <c r="F344" s="5" t="str">
        <f>IFERROR(IF(E344="","",VLOOKUP(E344,Catalogo!$B$10:$D$209,2,0)),"")</f>
        <v/>
      </c>
      <c r="G344" s="5" t="str">
        <f>IFERROR(IF(E344="","",VLOOKUP(E344,Catalogo!$B$10:$D$209,3,0)),"")</f>
        <v/>
      </c>
      <c r="H344" s="4"/>
      <c r="I344" s="4" t="str">
        <f>IF(E344="","",SUMPRODUCT((E$9:E344=E344)*(C$9:C344&lt;&gt;"Salida")*H$9:H344)-SUMPRODUCT((E$9:E344=E344)*(C$9:C344="Salida")*H$9:H344))</f>
        <v/>
      </c>
    </row>
    <row r="345" spans="2:9" ht="16.5" customHeight="1" x14ac:dyDescent="0.25">
      <c r="B345" s="6"/>
      <c r="C345" s="6"/>
      <c r="D345" s="6"/>
      <c r="E345" s="6"/>
      <c r="F345" s="7" t="str">
        <f>IFERROR(IF(E345="","",VLOOKUP(E345,Catalogo!$B$10:$D$209,2,0)),"")</f>
        <v/>
      </c>
      <c r="G345" s="7" t="str">
        <f>IFERROR(IF(E345="","",VLOOKUP(E345,Catalogo!$B$10:$D$209,3,0)),"")</f>
        <v/>
      </c>
      <c r="H345" s="6"/>
      <c r="I345" s="6" t="str">
        <f>IF(E345="","",SUMPRODUCT((E$9:E345=E345)*(C$9:C345&lt;&gt;"Salida")*H$9:H345)-SUMPRODUCT((E$9:E345=E345)*(C$9:C345="Salida")*H$9:H345))</f>
        <v/>
      </c>
    </row>
    <row r="346" spans="2:9" ht="16.5" customHeight="1" x14ac:dyDescent="0.25">
      <c r="B346" s="4"/>
      <c r="C346" s="4"/>
      <c r="D346" s="4"/>
      <c r="E346" s="4"/>
      <c r="F346" s="5" t="str">
        <f>IFERROR(IF(E346="","",VLOOKUP(E346,Catalogo!$B$10:$D$209,2,0)),"")</f>
        <v/>
      </c>
      <c r="G346" s="5" t="str">
        <f>IFERROR(IF(E346="","",VLOOKUP(E346,Catalogo!$B$10:$D$209,3,0)),"")</f>
        <v/>
      </c>
      <c r="H346" s="4"/>
      <c r="I346" s="4" t="str">
        <f>IF(E346="","",SUMPRODUCT((E$9:E346=E346)*(C$9:C346&lt;&gt;"Salida")*H$9:H346)-SUMPRODUCT((E$9:E346=E346)*(C$9:C346="Salida")*H$9:H346))</f>
        <v/>
      </c>
    </row>
    <row r="347" spans="2:9" ht="16.5" customHeight="1" x14ac:dyDescent="0.25">
      <c r="B347" s="6"/>
      <c r="C347" s="6"/>
      <c r="D347" s="6"/>
      <c r="E347" s="6"/>
      <c r="F347" s="7" t="str">
        <f>IFERROR(IF(E347="","",VLOOKUP(E347,Catalogo!$B$10:$D$209,2,0)),"")</f>
        <v/>
      </c>
      <c r="G347" s="7" t="str">
        <f>IFERROR(IF(E347="","",VLOOKUP(E347,Catalogo!$B$10:$D$209,3,0)),"")</f>
        <v/>
      </c>
      <c r="H347" s="6"/>
      <c r="I347" s="6" t="str">
        <f>IF(E347="","",SUMPRODUCT((E$9:E347=E347)*(C$9:C347&lt;&gt;"Salida")*H$9:H347)-SUMPRODUCT((E$9:E347=E347)*(C$9:C347="Salida")*H$9:H347))</f>
        <v/>
      </c>
    </row>
    <row r="348" spans="2:9" ht="16.5" customHeight="1" x14ac:dyDescent="0.25">
      <c r="B348" s="4"/>
      <c r="C348" s="4"/>
      <c r="D348" s="4"/>
      <c r="E348" s="4"/>
      <c r="F348" s="5" t="str">
        <f>IFERROR(IF(E348="","",VLOOKUP(E348,Catalogo!$B$10:$D$209,2,0)),"")</f>
        <v/>
      </c>
      <c r="G348" s="5" t="str">
        <f>IFERROR(IF(E348="","",VLOOKUP(E348,Catalogo!$B$10:$D$209,3,0)),"")</f>
        <v/>
      </c>
      <c r="H348" s="4"/>
      <c r="I348" s="4" t="str">
        <f>IF(E348="","",SUMPRODUCT((E$9:E348=E348)*(C$9:C348&lt;&gt;"Salida")*H$9:H348)-SUMPRODUCT((E$9:E348=E348)*(C$9:C348="Salida")*H$9:H348))</f>
        <v/>
      </c>
    </row>
    <row r="349" spans="2:9" ht="16.5" customHeight="1" x14ac:dyDescent="0.25">
      <c r="B349" s="6"/>
      <c r="C349" s="6"/>
      <c r="D349" s="6"/>
      <c r="E349" s="6"/>
      <c r="F349" s="7" t="str">
        <f>IFERROR(IF(E349="","",VLOOKUP(E349,Catalogo!$B$10:$D$209,2,0)),"")</f>
        <v/>
      </c>
      <c r="G349" s="7" t="str">
        <f>IFERROR(IF(E349="","",VLOOKUP(E349,Catalogo!$B$10:$D$209,3,0)),"")</f>
        <v/>
      </c>
      <c r="H349" s="6"/>
      <c r="I349" s="6" t="str">
        <f>IF(E349="","",SUMPRODUCT((E$9:E349=E349)*(C$9:C349&lt;&gt;"Salida")*H$9:H349)-SUMPRODUCT((E$9:E349=E349)*(C$9:C349="Salida")*H$9:H349))</f>
        <v/>
      </c>
    </row>
    <row r="350" spans="2:9" ht="16.5" customHeight="1" x14ac:dyDescent="0.25">
      <c r="B350" s="4"/>
      <c r="C350" s="4"/>
      <c r="D350" s="4"/>
      <c r="E350" s="4"/>
      <c r="F350" s="5" t="str">
        <f>IFERROR(IF(E350="","",VLOOKUP(E350,Catalogo!$B$10:$D$209,2,0)),"")</f>
        <v/>
      </c>
      <c r="G350" s="5" t="str">
        <f>IFERROR(IF(E350="","",VLOOKUP(E350,Catalogo!$B$10:$D$209,3,0)),"")</f>
        <v/>
      </c>
      <c r="H350" s="4"/>
      <c r="I350" s="4" t="str">
        <f>IF(E350="","",SUMPRODUCT((E$9:E350=E350)*(C$9:C350&lt;&gt;"Salida")*H$9:H350)-SUMPRODUCT((E$9:E350=E350)*(C$9:C350="Salida")*H$9:H350))</f>
        <v/>
      </c>
    </row>
    <row r="351" spans="2:9" ht="16.5" customHeight="1" x14ac:dyDescent="0.25">
      <c r="B351" s="6"/>
      <c r="C351" s="6"/>
      <c r="D351" s="6"/>
      <c r="E351" s="6"/>
      <c r="F351" s="7" t="str">
        <f>IFERROR(IF(E351="","",VLOOKUP(E351,Catalogo!$B$10:$D$209,2,0)),"")</f>
        <v/>
      </c>
      <c r="G351" s="7" t="str">
        <f>IFERROR(IF(E351="","",VLOOKUP(E351,Catalogo!$B$10:$D$209,3,0)),"")</f>
        <v/>
      </c>
      <c r="H351" s="6"/>
      <c r="I351" s="6" t="str">
        <f>IF(E351="","",SUMPRODUCT((E$9:E351=E351)*(C$9:C351&lt;&gt;"Salida")*H$9:H351)-SUMPRODUCT((E$9:E351=E351)*(C$9:C351="Salida")*H$9:H351))</f>
        <v/>
      </c>
    </row>
    <row r="352" spans="2:9" ht="16.5" customHeight="1" x14ac:dyDescent="0.25">
      <c r="B352" s="4"/>
      <c r="C352" s="4"/>
      <c r="D352" s="4"/>
      <c r="E352" s="4"/>
      <c r="F352" s="5" t="str">
        <f>IFERROR(IF(E352="","",VLOOKUP(E352,Catalogo!$B$10:$D$209,2,0)),"")</f>
        <v/>
      </c>
      <c r="G352" s="5" t="str">
        <f>IFERROR(IF(E352="","",VLOOKUP(E352,Catalogo!$B$10:$D$209,3,0)),"")</f>
        <v/>
      </c>
      <c r="H352" s="4"/>
      <c r="I352" s="4" t="str">
        <f>IF(E352="","",SUMPRODUCT((E$9:E352=E352)*(C$9:C352&lt;&gt;"Salida")*H$9:H352)-SUMPRODUCT((E$9:E352=E352)*(C$9:C352="Salida")*H$9:H352))</f>
        <v/>
      </c>
    </row>
    <row r="353" spans="2:9" ht="16.5" customHeight="1" x14ac:dyDescent="0.25">
      <c r="B353" s="6"/>
      <c r="C353" s="6"/>
      <c r="D353" s="6"/>
      <c r="E353" s="6"/>
      <c r="F353" s="7" t="str">
        <f>IFERROR(IF(E353="","",VLOOKUP(E353,Catalogo!$B$10:$D$209,2,0)),"")</f>
        <v/>
      </c>
      <c r="G353" s="7" t="str">
        <f>IFERROR(IF(E353="","",VLOOKUP(E353,Catalogo!$B$10:$D$209,3,0)),"")</f>
        <v/>
      </c>
      <c r="H353" s="6"/>
      <c r="I353" s="6" t="str">
        <f>IF(E353="","",SUMPRODUCT((E$9:E353=E353)*(C$9:C353&lt;&gt;"Salida")*H$9:H353)-SUMPRODUCT((E$9:E353=E353)*(C$9:C353="Salida")*H$9:H353))</f>
        <v/>
      </c>
    </row>
    <row r="354" spans="2:9" ht="16.5" customHeight="1" x14ac:dyDescent="0.25">
      <c r="B354" s="4"/>
      <c r="C354" s="4"/>
      <c r="D354" s="4"/>
      <c r="E354" s="4"/>
      <c r="F354" s="5" t="str">
        <f>IFERROR(IF(E354="","",VLOOKUP(E354,Catalogo!$B$10:$D$209,2,0)),"")</f>
        <v/>
      </c>
      <c r="G354" s="5" t="str">
        <f>IFERROR(IF(E354="","",VLOOKUP(E354,Catalogo!$B$10:$D$209,3,0)),"")</f>
        <v/>
      </c>
      <c r="H354" s="4"/>
      <c r="I354" s="4" t="str">
        <f>IF(E354="","",SUMPRODUCT((E$9:E354=E354)*(C$9:C354&lt;&gt;"Salida")*H$9:H354)-SUMPRODUCT((E$9:E354=E354)*(C$9:C354="Salida")*H$9:H354))</f>
        <v/>
      </c>
    </row>
    <row r="355" spans="2:9" ht="16.5" customHeight="1" x14ac:dyDescent="0.25">
      <c r="B355" s="6"/>
      <c r="C355" s="6"/>
      <c r="D355" s="6"/>
      <c r="E355" s="6"/>
      <c r="F355" s="7" t="str">
        <f>IFERROR(IF(E355="","",VLOOKUP(E355,Catalogo!$B$10:$D$209,2,0)),"")</f>
        <v/>
      </c>
      <c r="G355" s="7" t="str">
        <f>IFERROR(IF(E355="","",VLOOKUP(E355,Catalogo!$B$10:$D$209,3,0)),"")</f>
        <v/>
      </c>
      <c r="H355" s="6"/>
      <c r="I355" s="6" t="str">
        <f>IF(E355="","",SUMPRODUCT((E$9:E355=E355)*(C$9:C355&lt;&gt;"Salida")*H$9:H355)-SUMPRODUCT((E$9:E355=E355)*(C$9:C355="Salida")*H$9:H355))</f>
        <v/>
      </c>
    </row>
    <row r="356" spans="2:9" ht="16.5" customHeight="1" x14ac:dyDescent="0.25">
      <c r="B356" s="4"/>
      <c r="C356" s="4"/>
      <c r="D356" s="4"/>
      <c r="E356" s="4"/>
      <c r="F356" s="5" t="str">
        <f>IFERROR(IF(E356="","",VLOOKUP(E356,Catalogo!$B$10:$D$209,2,0)),"")</f>
        <v/>
      </c>
      <c r="G356" s="5" t="str">
        <f>IFERROR(IF(E356="","",VLOOKUP(E356,Catalogo!$B$10:$D$209,3,0)),"")</f>
        <v/>
      </c>
      <c r="H356" s="4"/>
      <c r="I356" s="4" t="str">
        <f>IF(E356="","",SUMPRODUCT((E$9:E356=E356)*(C$9:C356&lt;&gt;"Salida")*H$9:H356)-SUMPRODUCT((E$9:E356=E356)*(C$9:C356="Salida")*H$9:H356))</f>
        <v/>
      </c>
    </row>
    <row r="357" spans="2:9" ht="16.5" customHeight="1" x14ac:dyDescent="0.25">
      <c r="B357" s="6"/>
      <c r="C357" s="6"/>
      <c r="D357" s="6"/>
      <c r="E357" s="6"/>
      <c r="F357" s="7" t="str">
        <f>IFERROR(IF(E357="","",VLOOKUP(E357,Catalogo!$B$10:$D$209,2,0)),"")</f>
        <v/>
      </c>
      <c r="G357" s="7" t="str">
        <f>IFERROR(IF(E357="","",VLOOKUP(E357,Catalogo!$B$10:$D$209,3,0)),"")</f>
        <v/>
      </c>
      <c r="H357" s="6"/>
      <c r="I357" s="6" t="str">
        <f>IF(E357="","",SUMPRODUCT((E$9:E357=E357)*(C$9:C357&lt;&gt;"Salida")*H$9:H357)-SUMPRODUCT((E$9:E357=E357)*(C$9:C357="Salida")*H$9:H357))</f>
        <v/>
      </c>
    </row>
    <row r="358" spans="2:9" ht="16.5" customHeight="1" x14ac:dyDescent="0.25">
      <c r="B358" s="4"/>
      <c r="C358" s="4"/>
      <c r="D358" s="4"/>
      <c r="E358" s="4"/>
      <c r="F358" s="5" t="str">
        <f>IFERROR(IF(E358="","",VLOOKUP(E358,Catalogo!$B$10:$D$209,2,0)),"")</f>
        <v/>
      </c>
      <c r="G358" s="5" t="str">
        <f>IFERROR(IF(E358="","",VLOOKUP(E358,Catalogo!$B$10:$D$209,3,0)),"")</f>
        <v/>
      </c>
      <c r="H358" s="4"/>
      <c r="I358" s="4" t="str">
        <f>IF(E358="","",SUMPRODUCT((E$9:E358=E358)*(C$9:C358&lt;&gt;"Salida")*H$9:H358)-SUMPRODUCT((E$9:E358=E358)*(C$9:C358="Salida")*H$9:H358))</f>
        <v/>
      </c>
    </row>
    <row r="359" spans="2:9" ht="16.5" customHeight="1" x14ac:dyDescent="0.25">
      <c r="B359" s="6"/>
      <c r="C359" s="6"/>
      <c r="D359" s="6"/>
      <c r="E359" s="6"/>
      <c r="F359" s="7" t="str">
        <f>IFERROR(IF(E359="","",VLOOKUP(E359,Catalogo!$B$10:$D$209,2,0)),"")</f>
        <v/>
      </c>
      <c r="G359" s="7" t="str">
        <f>IFERROR(IF(E359="","",VLOOKUP(E359,Catalogo!$B$10:$D$209,3,0)),"")</f>
        <v/>
      </c>
      <c r="H359" s="6"/>
      <c r="I359" s="6" t="str">
        <f>IF(E359="","",SUMPRODUCT((E$9:E359=E359)*(C$9:C359&lt;&gt;"Salida")*H$9:H359)-SUMPRODUCT((E$9:E359=E359)*(C$9:C359="Salida")*H$9:H359))</f>
        <v/>
      </c>
    </row>
    <row r="360" spans="2:9" ht="16.5" customHeight="1" x14ac:dyDescent="0.25">
      <c r="B360" s="4"/>
      <c r="C360" s="4"/>
      <c r="D360" s="4"/>
      <c r="E360" s="4"/>
      <c r="F360" s="5" t="str">
        <f>IFERROR(IF(E360="","",VLOOKUP(E360,Catalogo!$B$10:$D$209,2,0)),"")</f>
        <v/>
      </c>
      <c r="G360" s="5" t="str">
        <f>IFERROR(IF(E360="","",VLOOKUP(E360,Catalogo!$B$10:$D$209,3,0)),"")</f>
        <v/>
      </c>
      <c r="H360" s="4"/>
      <c r="I360" s="4" t="str">
        <f>IF(E360="","",SUMPRODUCT((E$9:E360=E360)*(C$9:C360&lt;&gt;"Salida")*H$9:H360)-SUMPRODUCT((E$9:E360=E360)*(C$9:C360="Salida")*H$9:H360))</f>
        <v/>
      </c>
    </row>
    <row r="361" spans="2:9" ht="16.5" customHeight="1" x14ac:dyDescent="0.25">
      <c r="B361" s="6"/>
      <c r="C361" s="6"/>
      <c r="D361" s="6"/>
      <c r="E361" s="6"/>
      <c r="F361" s="7" t="str">
        <f>IFERROR(IF(E361="","",VLOOKUP(E361,Catalogo!$B$10:$D$209,2,0)),"")</f>
        <v/>
      </c>
      <c r="G361" s="7" t="str">
        <f>IFERROR(IF(E361="","",VLOOKUP(E361,Catalogo!$B$10:$D$209,3,0)),"")</f>
        <v/>
      </c>
      <c r="H361" s="6"/>
      <c r="I361" s="6" t="str">
        <f>IF(E361="","",SUMPRODUCT((E$9:E361=E361)*(C$9:C361&lt;&gt;"Salida")*H$9:H361)-SUMPRODUCT((E$9:E361=E361)*(C$9:C361="Salida")*H$9:H361))</f>
        <v/>
      </c>
    </row>
    <row r="362" spans="2:9" ht="16.5" customHeight="1" x14ac:dyDescent="0.25">
      <c r="B362" s="4"/>
      <c r="C362" s="4"/>
      <c r="D362" s="4"/>
      <c r="E362" s="4"/>
      <c r="F362" s="5" t="str">
        <f>IFERROR(IF(E362="","",VLOOKUP(E362,Catalogo!$B$10:$D$209,2,0)),"")</f>
        <v/>
      </c>
      <c r="G362" s="5" t="str">
        <f>IFERROR(IF(E362="","",VLOOKUP(E362,Catalogo!$B$10:$D$209,3,0)),"")</f>
        <v/>
      </c>
      <c r="H362" s="4"/>
      <c r="I362" s="4" t="str">
        <f>IF(E362="","",SUMPRODUCT((E$9:E362=E362)*(C$9:C362&lt;&gt;"Salida")*H$9:H362)-SUMPRODUCT((E$9:E362=E362)*(C$9:C362="Salida")*H$9:H362))</f>
        <v/>
      </c>
    </row>
    <row r="363" spans="2:9" ht="16.5" customHeight="1" x14ac:dyDescent="0.25">
      <c r="B363" s="6"/>
      <c r="C363" s="6"/>
      <c r="D363" s="6"/>
      <c r="E363" s="6"/>
      <c r="F363" s="7" t="str">
        <f>IFERROR(IF(E363="","",VLOOKUP(E363,Catalogo!$B$10:$D$209,2,0)),"")</f>
        <v/>
      </c>
      <c r="G363" s="7" t="str">
        <f>IFERROR(IF(E363="","",VLOOKUP(E363,Catalogo!$B$10:$D$209,3,0)),"")</f>
        <v/>
      </c>
      <c r="H363" s="6"/>
      <c r="I363" s="6" t="str">
        <f>IF(E363="","",SUMPRODUCT((E$9:E363=E363)*(C$9:C363&lt;&gt;"Salida")*H$9:H363)-SUMPRODUCT((E$9:E363=E363)*(C$9:C363="Salida")*H$9:H363))</f>
        <v/>
      </c>
    </row>
    <row r="364" spans="2:9" ht="16.5" customHeight="1" x14ac:dyDescent="0.25">
      <c r="B364" s="4"/>
      <c r="C364" s="4"/>
      <c r="D364" s="4"/>
      <c r="E364" s="4"/>
      <c r="F364" s="5" t="str">
        <f>IFERROR(IF(E364="","",VLOOKUP(E364,Catalogo!$B$10:$D$209,2,0)),"")</f>
        <v/>
      </c>
      <c r="G364" s="5" t="str">
        <f>IFERROR(IF(E364="","",VLOOKUP(E364,Catalogo!$B$10:$D$209,3,0)),"")</f>
        <v/>
      </c>
      <c r="H364" s="4"/>
      <c r="I364" s="4" t="str">
        <f>IF(E364="","",SUMPRODUCT((E$9:E364=E364)*(C$9:C364&lt;&gt;"Salida")*H$9:H364)-SUMPRODUCT((E$9:E364=E364)*(C$9:C364="Salida")*H$9:H364))</f>
        <v/>
      </c>
    </row>
    <row r="365" spans="2:9" ht="16.5" customHeight="1" x14ac:dyDescent="0.25">
      <c r="B365" s="6"/>
      <c r="C365" s="6"/>
      <c r="D365" s="6"/>
      <c r="E365" s="6"/>
      <c r="F365" s="7" t="str">
        <f>IFERROR(IF(E365="","",VLOOKUP(E365,Catalogo!$B$10:$D$209,2,0)),"")</f>
        <v/>
      </c>
      <c r="G365" s="7" t="str">
        <f>IFERROR(IF(E365="","",VLOOKUP(E365,Catalogo!$B$10:$D$209,3,0)),"")</f>
        <v/>
      </c>
      <c r="H365" s="6"/>
      <c r="I365" s="6" t="str">
        <f>IF(E365="","",SUMPRODUCT((E$9:E365=E365)*(C$9:C365&lt;&gt;"Salida")*H$9:H365)-SUMPRODUCT((E$9:E365=E365)*(C$9:C365="Salida")*H$9:H365))</f>
        <v/>
      </c>
    </row>
    <row r="366" spans="2:9" ht="16.5" customHeight="1" x14ac:dyDescent="0.25">
      <c r="B366" s="4"/>
      <c r="C366" s="4"/>
      <c r="D366" s="4"/>
      <c r="E366" s="4"/>
      <c r="F366" s="5" t="str">
        <f>IFERROR(IF(E366="","",VLOOKUP(E366,Catalogo!$B$10:$D$209,2,0)),"")</f>
        <v/>
      </c>
      <c r="G366" s="5" t="str">
        <f>IFERROR(IF(E366="","",VLOOKUP(E366,Catalogo!$B$10:$D$209,3,0)),"")</f>
        <v/>
      </c>
      <c r="H366" s="4"/>
      <c r="I366" s="4" t="str">
        <f>IF(E366="","",SUMPRODUCT((E$9:E366=E366)*(C$9:C366&lt;&gt;"Salida")*H$9:H366)-SUMPRODUCT((E$9:E366=E366)*(C$9:C366="Salida")*H$9:H366))</f>
        <v/>
      </c>
    </row>
    <row r="367" spans="2:9" ht="16.5" customHeight="1" x14ac:dyDescent="0.25">
      <c r="B367" s="6"/>
      <c r="C367" s="6"/>
      <c r="D367" s="6"/>
      <c r="E367" s="6"/>
      <c r="F367" s="7" t="str">
        <f>IFERROR(IF(E367="","",VLOOKUP(E367,Catalogo!$B$10:$D$209,2,0)),"")</f>
        <v/>
      </c>
      <c r="G367" s="7" t="str">
        <f>IFERROR(IF(E367="","",VLOOKUP(E367,Catalogo!$B$10:$D$209,3,0)),"")</f>
        <v/>
      </c>
      <c r="H367" s="6"/>
      <c r="I367" s="6" t="str">
        <f>IF(E367="","",SUMPRODUCT((E$9:E367=E367)*(C$9:C367&lt;&gt;"Salida")*H$9:H367)-SUMPRODUCT((E$9:E367=E367)*(C$9:C367="Salida")*H$9:H367))</f>
        <v/>
      </c>
    </row>
    <row r="368" spans="2:9" ht="16.5" customHeight="1" x14ac:dyDescent="0.25">
      <c r="B368" s="4"/>
      <c r="C368" s="4"/>
      <c r="D368" s="4"/>
      <c r="E368" s="4"/>
      <c r="F368" s="5" t="str">
        <f>IFERROR(IF(E368="","",VLOOKUP(E368,Catalogo!$B$10:$D$209,2,0)),"")</f>
        <v/>
      </c>
      <c r="G368" s="5" t="str">
        <f>IFERROR(IF(E368="","",VLOOKUP(E368,Catalogo!$B$10:$D$209,3,0)),"")</f>
        <v/>
      </c>
      <c r="H368" s="4"/>
      <c r="I368" s="4" t="str">
        <f>IF(E368="","",SUMPRODUCT((E$9:E368=E368)*(C$9:C368&lt;&gt;"Salida")*H$9:H368)-SUMPRODUCT((E$9:E368=E368)*(C$9:C368="Salida")*H$9:H368))</f>
        <v/>
      </c>
    </row>
    <row r="369" spans="2:9" ht="16.5" customHeight="1" x14ac:dyDescent="0.25">
      <c r="B369" s="6"/>
      <c r="C369" s="6"/>
      <c r="D369" s="6"/>
      <c r="E369" s="6"/>
      <c r="F369" s="7" t="str">
        <f>IFERROR(IF(E369="","",VLOOKUP(E369,Catalogo!$B$10:$D$209,2,0)),"")</f>
        <v/>
      </c>
      <c r="G369" s="7" t="str">
        <f>IFERROR(IF(E369="","",VLOOKUP(E369,Catalogo!$B$10:$D$209,3,0)),"")</f>
        <v/>
      </c>
      <c r="H369" s="6"/>
      <c r="I369" s="6" t="str">
        <f>IF(E369="","",SUMPRODUCT((E$9:E369=E369)*(C$9:C369&lt;&gt;"Salida")*H$9:H369)-SUMPRODUCT((E$9:E369=E369)*(C$9:C369="Salida")*H$9:H369))</f>
        <v/>
      </c>
    </row>
    <row r="370" spans="2:9" ht="16.5" customHeight="1" x14ac:dyDescent="0.25">
      <c r="B370" s="4"/>
      <c r="C370" s="4"/>
      <c r="D370" s="4"/>
      <c r="E370" s="4"/>
      <c r="F370" s="5" t="str">
        <f>IFERROR(IF(E370="","",VLOOKUP(E370,Catalogo!$B$10:$D$209,2,0)),"")</f>
        <v/>
      </c>
      <c r="G370" s="5" t="str">
        <f>IFERROR(IF(E370="","",VLOOKUP(E370,Catalogo!$B$10:$D$209,3,0)),"")</f>
        <v/>
      </c>
      <c r="H370" s="4"/>
      <c r="I370" s="4" t="str">
        <f>IF(E370="","",SUMPRODUCT((E$9:E370=E370)*(C$9:C370&lt;&gt;"Salida")*H$9:H370)-SUMPRODUCT((E$9:E370=E370)*(C$9:C370="Salida")*H$9:H370))</f>
        <v/>
      </c>
    </row>
    <row r="371" spans="2:9" ht="16.5" customHeight="1" x14ac:dyDescent="0.25">
      <c r="B371" s="6"/>
      <c r="C371" s="6"/>
      <c r="D371" s="6"/>
      <c r="E371" s="6"/>
      <c r="F371" s="7" t="str">
        <f>IFERROR(IF(E371="","",VLOOKUP(E371,Catalogo!$B$10:$D$209,2,0)),"")</f>
        <v/>
      </c>
      <c r="G371" s="7" t="str">
        <f>IFERROR(IF(E371="","",VLOOKUP(E371,Catalogo!$B$10:$D$209,3,0)),"")</f>
        <v/>
      </c>
      <c r="H371" s="6"/>
      <c r="I371" s="6" t="str">
        <f>IF(E371="","",SUMPRODUCT((E$9:E371=E371)*(C$9:C371&lt;&gt;"Salida")*H$9:H371)-SUMPRODUCT((E$9:E371=E371)*(C$9:C371="Salida")*H$9:H371))</f>
        <v/>
      </c>
    </row>
    <row r="372" spans="2:9" ht="16.5" customHeight="1" x14ac:dyDescent="0.25">
      <c r="B372" s="4"/>
      <c r="C372" s="4"/>
      <c r="D372" s="4"/>
      <c r="E372" s="4"/>
      <c r="F372" s="5" t="str">
        <f>IFERROR(IF(E372="","",VLOOKUP(E372,Catalogo!$B$10:$D$209,2,0)),"")</f>
        <v/>
      </c>
      <c r="G372" s="5" t="str">
        <f>IFERROR(IF(E372="","",VLOOKUP(E372,Catalogo!$B$10:$D$209,3,0)),"")</f>
        <v/>
      </c>
      <c r="H372" s="4"/>
      <c r="I372" s="4" t="str">
        <f>IF(E372="","",SUMPRODUCT((E$9:E372=E372)*(C$9:C372&lt;&gt;"Salida")*H$9:H372)-SUMPRODUCT((E$9:E372=E372)*(C$9:C372="Salida")*H$9:H372))</f>
        <v/>
      </c>
    </row>
    <row r="373" spans="2:9" ht="16.5" customHeight="1" x14ac:dyDescent="0.25">
      <c r="B373" s="6"/>
      <c r="C373" s="6"/>
      <c r="D373" s="6"/>
      <c r="E373" s="6"/>
      <c r="F373" s="7" t="str">
        <f>IFERROR(IF(E373="","",VLOOKUP(E373,Catalogo!$B$10:$D$209,2,0)),"")</f>
        <v/>
      </c>
      <c r="G373" s="7" t="str">
        <f>IFERROR(IF(E373="","",VLOOKUP(E373,Catalogo!$B$10:$D$209,3,0)),"")</f>
        <v/>
      </c>
      <c r="H373" s="6"/>
      <c r="I373" s="6" t="str">
        <f>IF(E373="","",SUMPRODUCT((E$9:E373=E373)*(C$9:C373&lt;&gt;"Salida")*H$9:H373)-SUMPRODUCT((E$9:E373=E373)*(C$9:C373="Salida")*H$9:H373))</f>
        <v/>
      </c>
    </row>
    <row r="374" spans="2:9" ht="16.5" customHeight="1" x14ac:dyDescent="0.25">
      <c r="B374" s="4"/>
      <c r="C374" s="4"/>
      <c r="D374" s="4"/>
      <c r="E374" s="4"/>
      <c r="F374" s="5" t="str">
        <f>IFERROR(IF(E374="","",VLOOKUP(E374,Catalogo!$B$10:$D$209,2,0)),"")</f>
        <v/>
      </c>
      <c r="G374" s="5" t="str">
        <f>IFERROR(IF(E374="","",VLOOKUP(E374,Catalogo!$B$10:$D$209,3,0)),"")</f>
        <v/>
      </c>
      <c r="H374" s="4"/>
      <c r="I374" s="4" t="str">
        <f>IF(E374="","",SUMPRODUCT((E$9:E374=E374)*(C$9:C374&lt;&gt;"Salida")*H$9:H374)-SUMPRODUCT((E$9:E374=E374)*(C$9:C374="Salida")*H$9:H374))</f>
        <v/>
      </c>
    </row>
    <row r="375" spans="2:9" ht="16.5" customHeight="1" x14ac:dyDescent="0.25">
      <c r="B375" s="6"/>
      <c r="C375" s="6"/>
      <c r="D375" s="6"/>
      <c r="E375" s="6"/>
      <c r="F375" s="7" t="str">
        <f>IFERROR(IF(E375="","",VLOOKUP(E375,Catalogo!$B$10:$D$209,2,0)),"")</f>
        <v/>
      </c>
      <c r="G375" s="7" t="str">
        <f>IFERROR(IF(E375="","",VLOOKUP(E375,Catalogo!$B$10:$D$209,3,0)),"")</f>
        <v/>
      </c>
      <c r="H375" s="6"/>
      <c r="I375" s="6" t="str">
        <f>IF(E375="","",SUMPRODUCT((E$9:E375=E375)*(C$9:C375&lt;&gt;"Salida")*H$9:H375)-SUMPRODUCT((E$9:E375=E375)*(C$9:C375="Salida")*H$9:H375))</f>
        <v/>
      </c>
    </row>
    <row r="376" spans="2:9" ht="16.5" customHeight="1" x14ac:dyDescent="0.25">
      <c r="B376" s="4"/>
      <c r="C376" s="4"/>
      <c r="D376" s="4"/>
      <c r="E376" s="4"/>
      <c r="F376" s="5" t="str">
        <f>IFERROR(IF(E376="","",VLOOKUP(E376,Catalogo!$B$10:$D$209,2,0)),"")</f>
        <v/>
      </c>
      <c r="G376" s="5" t="str">
        <f>IFERROR(IF(E376="","",VLOOKUP(E376,Catalogo!$B$10:$D$209,3,0)),"")</f>
        <v/>
      </c>
      <c r="H376" s="4"/>
      <c r="I376" s="4" t="str">
        <f>IF(E376="","",SUMPRODUCT((E$9:E376=E376)*(C$9:C376&lt;&gt;"Salida")*H$9:H376)-SUMPRODUCT((E$9:E376=E376)*(C$9:C376="Salida")*H$9:H376))</f>
        <v/>
      </c>
    </row>
    <row r="377" spans="2:9" ht="16.5" customHeight="1" x14ac:dyDescent="0.25">
      <c r="B377" s="6"/>
      <c r="C377" s="6"/>
      <c r="D377" s="6"/>
      <c r="E377" s="6"/>
      <c r="F377" s="7" t="str">
        <f>IFERROR(IF(E377="","",VLOOKUP(E377,Catalogo!$B$10:$D$209,2,0)),"")</f>
        <v/>
      </c>
      <c r="G377" s="7" t="str">
        <f>IFERROR(IF(E377="","",VLOOKUP(E377,Catalogo!$B$10:$D$209,3,0)),"")</f>
        <v/>
      </c>
      <c r="H377" s="6"/>
      <c r="I377" s="6" t="str">
        <f>IF(E377="","",SUMPRODUCT((E$9:E377=E377)*(C$9:C377&lt;&gt;"Salida")*H$9:H377)-SUMPRODUCT((E$9:E377=E377)*(C$9:C377="Salida")*H$9:H377))</f>
        <v/>
      </c>
    </row>
    <row r="378" spans="2:9" ht="16.5" customHeight="1" x14ac:dyDescent="0.25">
      <c r="B378" s="4"/>
      <c r="C378" s="4"/>
      <c r="D378" s="4"/>
      <c r="E378" s="4"/>
      <c r="F378" s="5" t="str">
        <f>IFERROR(IF(E378="","",VLOOKUP(E378,Catalogo!$B$10:$D$209,2,0)),"")</f>
        <v/>
      </c>
      <c r="G378" s="5" t="str">
        <f>IFERROR(IF(E378="","",VLOOKUP(E378,Catalogo!$B$10:$D$209,3,0)),"")</f>
        <v/>
      </c>
      <c r="H378" s="4"/>
      <c r="I378" s="4" t="str">
        <f>IF(E378="","",SUMPRODUCT((E$9:E378=E378)*(C$9:C378&lt;&gt;"Salida")*H$9:H378)-SUMPRODUCT((E$9:E378=E378)*(C$9:C378="Salida")*H$9:H378))</f>
        <v/>
      </c>
    </row>
    <row r="379" spans="2:9" ht="16.5" customHeight="1" x14ac:dyDescent="0.25">
      <c r="B379" s="6"/>
      <c r="C379" s="6"/>
      <c r="D379" s="6"/>
      <c r="E379" s="6"/>
      <c r="F379" s="7" t="str">
        <f>IFERROR(IF(E379="","",VLOOKUP(E379,Catalogo!$B$10:$D$209,2,0)),"")</f>
        <v/>
      </c>
      <c r="G379" s="7" t="str">
        <f>IFERROR(IF(E379="","",VLOOKUP(E379,Catalogo!$B$10:$D$209,3,0)),"")</f>
        <v/>
      </c>
      <c r="H379" s="6"/>
      <c r="I379" s="6" t="str">
        <f>IF(E379="","",SUMPRODUCT((E$9:E379=E379)*(C$9:C379&lt;&gt;"Salida")*H$9:H379)-SUMPRODUCT((E$9:E379=E379)*(C$9:C379="Salida")*H$9:H379))</f>
        <v/>
      </c>
    </row>
    <row r="380" spans="2:9" ht="16.5" customHeight="1" x14ac:dyDescent="0.25">
      <c r="B380" s="4"/>
      <c r="C380" s="4"/>
      <c r="D380" s="4"/>
      <c r="E380" s="4"/>
      <c r="F380" s="5" t="str">
        <f>IFERROR(IF(E380="","",VLOOKUP(E380,Catalogo!$B$10:$D$209,2,0)),"")</f>
        <v/>
      </c>
      <c r="G380" s="5" t="str">
        <f>IFERROR(IF(E380="","",VLOOKUP(E380,Catalogo!$B$10:$D$209,3,0)),"")</f>
        <v/>
      </c>
      <c r="H380" s="4"/>
      <c r="I380" s="4" t="str">
        <f>IF(E380="","",SUMPRODUCT((E$9:E380=E380)*(C$9:C380&lt;&gt;"Salida")*H$9:H380)-SUMPRODUCT((E$9:E380=E380)*(C$9:C380="Salida")*H$9:H380))</f>
        <v/>
      </c>
    </row>
    <row r="381" spans="2:9" ht="16.5" customHeight="1" x14ac:dyDescent="0.25">
      <c r="B381" s="6"/>
      <c r="C381" s="6"/>
      <c r="D381" s="6"/>
      <c r="E381" s="6"/>
      <c r="F381" s="7" t="str">
        <f>IFERROR(IF(E381="","",VLOOKUP(E381,Catalogo!$B$10:$D$209,2,0)),"")</f>
        <v/>
      </c>
      <c r="G381" s="7" t="str">
        <f>IFERROR(IF(E381="","",VLOOKUP(E381,Catalogo!$B$10:$D$209,3,0)),"")</f>
        <v/>
      </c>
      <c r="H381" s="6"/>
      <c r="I381" s="6" t="str">
        <f>IF(E381="","",SUMPRODUCT((E$9:E381=E381)*(C$9:C381&lt;&gt;"Salida")*H$9:H381)-SUMPRODUCT((E$9:E381=E381)*(C$9:C381="Salida")*H$9:H381))</f>
        <v/>
      </c>
    </row>
    <row r="382" spans="2:9" ht="16.5" customHeight="1" x14ac:dyDescent="0.25">
      <c r="B382" s="4"/>
      <c r="C382" s="4"/>
      <c r="D382" s="4"/>
      <c r="E382" s="4"/>
      <c r="F382" s="5" t="str">
        <f>IFERROR(IF(E382="","",VLOOKUP(E382,Catalogo!$B$10:$D$209,2,0)),"")</f>
        <v/>
      </c>
      <c r="G382" s="5" t="str">
        <f>IFERROR(IF(E382="","",VLOOKUP(E382,Catalogo!$B$10:$D$209,3,0)),"")</f>
        <v/>
      </c>
      <c r="H382" s="4"/>
      <c r="I382" s="4" t="str">
        <f>IF(E382="","",SUMPRODUCT((E$9:E382=E382)*(C$9:C382&lt;&gt;"Salida")*H$9:H382)-SUMPRODUCT((E$9:E382=E382)*(C$9:C382="Salida")*H$9:H382))</f>
        <v/>
      </c>
    </row>
    <row r="383" spans="2:9" ht="16.5" customHeight="1" x14ac:dyDescent="0.25">
      <c r="B383" s="6"/>
      <c r="C383" s="6"/>
      <c r="D383" s="6"/>
      <c r="E383" s="6"/>
      <c r="F383" s="7" t="str">
        <f>IFERROR(IF(E383="","",VLOOKUP(E383,Catalogo!$B$10:$D$209,2,0)),"")</f>
        <v/>
      </c>
      <c r="G383" s="7" t="str">
        <f>IFERROR(IF(E383="","",VLOOKUP(E383,Catalogo!$B$10:$D$209,3,0)),"")</f>
        <v/>
      </c>
      <c r="H383" s="6"/>
      <c r="I383" s="6" t="str">
        <f>IF(E383="","",SUMPRODUCT((E$9:E383=E383)*(C$9:C383&lt;&gt;"Salida")*H$9:H383)-SUMPRODUCT((E$9:E383=E383)*(C$9:C383="Salida")*H$9:H383))</f>
        <v/>
      </c>
    </row>
    <row r="384" spans="2:9" ht="16.5" customHeight="1" x14ac:dyDescent="0.25">
      <c r="B384" s="4"/>
      <c r="C384" s="4"/>
      <c r="D384" s="4"/>
      <c r="E384" s="4"/>
      <c r="F384" s="5" t="str">
        <f>IFERROR(IF(E384="","",VLOOKUP(E384,Catalogo!$B$10:$D$209,2,0)),"")</f>
        <v/>
      </c>
      <c r="G384" s="5" t="str">
        <f>IFERROR(IF(E384="","",VLOOKUP(E384,Catalogo!$B$10:$D$209,3,0)),"")</f>
        <v/>
      </c>
      <c r="H384" s="4"/>
      <c r="I384" s="4" t="str">
        <f>IF(E384="","",SUMPRODUCT((E$9:E384=E384)*(C$9:C384&lt;&gt;"Salida")*H$9:H384)-SUMPRODUCT((E$9:E384=E384)*(C$9:C384="Salida")*H$9:H384))</f>
        <v/>
      </c>
    </row>
    <row r="385" spans="2:9" ht="16.5" customHeight="1" x14ac:dyDescent="0.25">
      <c r="B385" s="6"/>
      <c r="C385" s="6"/>
      <c r="D385" s="6"/>
      <c r="E385" s="6"/>
      <c r="F385" s="7" t="str">
        <f>IFERROR(IF(E385="","",VLOOKUP(E385,Catalogo!$B$10:$D$209,2,0)),"")</f>
        <v/>
      </c>
      <c r="G385" s="7" t="str">
        <f>IFERROR(IF(E385="","",VLOOKUP(E385,Catalogo!$B$10:$D$209,3,0)),"")</f>
        <v/>
      </c>
      <c r="H385" s="6"/>
      <c r="I385" s="6" t="str">
        <f>IF(E385="","",SUMPRODUCT((E$9:E385=E385)*(C$9:C385&lt;&gt;"Salida")*H$9:H385)-SUMPRODUCT((E$9:E385=E385)*(C$9:C385="Salida")*H$9:H385))</f>
        <v/>
      </c>
    </row>
    <row r="386" spans="2:9" ht="16.5" customHeight="1" x14ac:dyDescent="0.25">
      <c r="B386" s="4"/>
      <c r="C386" s="4"/>
      <c r="D386" s="4"/>
      <c r="E386" s="4"/>
      <c r="F386" s="5" t="str">
        <f>IFERROR(IF(E386="","",VLOOKUP(E386,Catalogo!$B$10:$D$209,2,0)),"")</f>
        <v/>
      </c>
      <c r="G386" s="5" t="str">
        <f>IFERROR(IF(E386="","",VLOOKUP(E386,Catalogo!$B$10:$D$209,3,0)),"")</f>
        <v/>
      </c>
      <c r="H386" s="4"/>
      <c r="I386" s="4" t="str">
        <f>IF(E386="","",SUMPRODUCT((E$9:E386=E386)*(C$9:C386&lt;&gt;"Salida")*H$9:H386)-SUMPRODUCT((E$9:E386=E386)*(C$9:C386="Salida")*H$9:H386))</f>
        <v/>
      </c>
    </row>
    <row r="387" spans="2:9" ht="16.5" customHeight="1" x14ac:dyDescent="0.25">
      <c r="B387" s="6"/>
      <c r="C387" s="6"/>
      <c r="D387" s="6"/>
      <c r="E387" s="6"/>
      <c r="F387" s="7" t="str">
        <f>IFERROR(IF(E387="","",VLOOKUP(E387,Catalogo!$B$10:$D$209,2,0)),"")</f>
        <v/>
      </c>
      <c r="G387" s="7" t="str">
        <f>IFERROR(IF(E387="","",VLOOKUP(E387,Catalogo!$B$10:$D$209,3,0)),"")</f>
        <v/>
      </c>
      <c r="H387" s="6"/>
      <c r="I387" s="6" t="str">
        <f>IF(E387="","",SUMPRODUCT((E$9:E387=E387)*(C$9:C387&lt;&gt;"Salida")*H$9:H387)-SUMPRODUCT((E$9:E387=E387)*(C$9:C387="Salida")*H$9:H387))</f>
        <v/>
      </c>
    </row>
    <row r="388" spans="2:9" ht="16.5" customHeight="1" x14ac:dyDescent="0.25">
      <c r="B388" s="4"/>
      <c r="C388" s="4"/>
      <c r="D388" s="4"/>
      <c r="E388" s="4"/>
      <c r="F388" s="5" t="str">
        <f>IFERROR(IF(E388="","",VLOOKUP(E388,Catalogo!$B$10:$D$209,2,0)),"")</f>
        <v/>
      </c>
      <c r="G388" s="5" t="str">
        <f>IFERROR(IF(E388="","",VLOOKUP(E388,Catalogo!$B$10:$D$209,3,0)),"")</f>
        <v/>
      </c>
      <c r="H388" s="4"/>
      <c r="I388" s="4" t="str">
        <f>IF(E388="","",SUMPRODUCT((E$9:E388=E388)*(C$9:C388&lt;&gt;"Salida")*H$9:H388)-SUMPRODUCT((E$9:E388=E388)*(C$9:C388="Salida")*H$9:H388))</f>
        <v/>
      </c>
    </row>
    <row r="389" spans="2:9" ht="16.5" customHeight="1" x14ac:dyDescent="0.25">
      <c r="B389" s="6"/>
      <c r="C389" s="6"/>
      <c r="D389" s="6"/>
      <c r="E389" s="6"/>
      <c r="F389" s="7" t="str">
        <f>IFERROR(IF(E389="","",VLOOKUP(E389,Catalogo!$B$10:$D$209,2,0)),"")</f>
        <v/>
      </c>
      <c r="G389" s="7" t="str">
        <f>IFERROR(IF(E389="","",VLOOKUP(E389,Catalogo!$B$10:$D$209,3,0)),"")</f>
        <v/>
      </c>
      <c r="H389" s="6"/>
      <c r="I389" s="6" t="str">
        <f>IF(E389="","",SUMPRODUCT((E$9:E389=E389)*(C$9:C389&lt;&gt;"Salida")*H$9:H389)-SUMPRODUCT((E$9:E389=E389)*(C$9:C389="Salida")*H$9:H389))</f>
        <v/>
      </c>
    </row>
    <row r="390" spans="2:9" ht="16.5" customHeight="1" x14ac:dyDescent="0.25">
      <c r="B390" s="4"/>
      <c r="C390" s="4"/>
      <c r="D390" s="4"/>
      <c r="E390" s="4"/>
      <c r="F390" s="5" t="str">
        <f>IFERROR(IF(E390="","",VLOOKUP(E390,Catalogo!$B$10:$D$209,2,0)),"")</f>
        <v/>
      </c>
      <c r="G390" s="5" t="str">
        <f>IFERROR(IF(E390="","",VLOOKUP(E390,Catalogo!$B$10:$D$209,3,0)),"")</f>
        <v/>
      </c>
      <c r="H390" s="4"/>
      <c r="I390" s="4" t="str">
        <f>IF(E390="","",SUMPRODUCT((E$9:E390=E390)*(C$9:C390&lt;&gt;"Salida")*H$9:H390)-SUMPRODUCT((E$9:E390=E390)*(C$9:C390="Salida")*H$9:H390))</f>
        <v/>
      </c>
    </row>
    <row r="391" spans="2:9" ht="16.5" customHeight="1" x14ac:dyDescent="0.25">
      <c r="B391" s="6"/>
      <c r="C391" s="6"/>
      <c r="D391" s="6"/>
      <c r="E391" s="6"/>
      <c r="F391" s="7" t="str">
        <f>IFERROR(IF(E391="","",VLOOKUP(E391,Catalogo!$B$10:$D$209,2,0)),"")</f>
        <v/>
      </c>
      <c r="G391" s="7" t="str">
        <f>IFERROR(IF(E391="","",VLOOKUP(E391,Catalogo!$B$10:$D$209,3,0)),"")</f>
        <v/>
      </c>
      <c r="H391" s="6"/>
      <c r="I391" s="6" t="str">
        <f>IF(E391="","",SUMPRODUCT((E$9:E391=E391)*(C$9:C391&lt;&gt;"Salida")*H$9:H391)-SUMPRODUCT((E$9:E391=E391)*(C$9:C391="Salida")*H$9:H391))</f>
        <v/>
      </c>
    </row>
    <row r="392" spans="2:9" ht="16.5" customHeight="1" x14ac:dyDescent="0.25">
      <c r="B392" s="4"/>
      <c r="C392" s="4"/>
      <c r="D392" s="4"/>
      <c r="E392" s="4"/>
      <c r="F392" s="5" t="str">
        <f>IFERROR(IF(E392="","",VLOOKUP(E392,Catalogo!$B$10:$D$209,2,0)),"")</f>
        <v/>
      </c>
      <c r="G392" s="5" t="str">
        <f>IFERROR(IF(E392="","",VLOOKUP(E392,Catalogo!$B$10:$D$209,3,0)),"")</f>
        <v/>
      </c>
      <c r="H392" s="4"/>
      <c r="I392" s="4" t="str">
        <f>IF(E392="","",SUMPRODUCT((E$9:E392=E392)*(C$9:C392&lt;&gt;"Salida")*H$9:H392)-SUMPRODUCT((E$9:E392=E392)*(C$9:C392="Salida")*H$9:H392))</f>
        <v/>
      </c>
    </row>
    <row r="393" spans="2:9" ht="16.5" customHeight="1" x14ac:dyDescent="0.25">
      <c r="B393" s="6"/>
      <c r="C393" s="6"/>
      <c r="D393" s="6"/>
      <c r="E393" s="6"/>
      <c r="F393" s="7" t="str">
        <f>IFERROR(IF(E393="","",VLOOKUP(E393,Catalogo!$B$10:$D$209,2,0)),"")</f>
        <v/>
      </c>
      <c r="G393" s="7" t="str">
        <f>IFERROR(IF(E393="","",VLOOKUP(E393,Catalogo!$B$10:$D$209,3,0)),"")</f>
        <v/>
      </c>
      <c r="H393" s="6"/>
      <c r="I393" s="6" t="str">
        <f>IF(E393="","",SUMPRODUCT((E$9:E393=E393)*(C$9:C393&lt;&gt;"Salida")*H$9:H393)-SUMPRODUCT((E$9:E393=E393)*(C$9:C393="Salida")*H$9:H393))</f>
        <v/>
      </c>
    </row>
    <row r="394" spans="2:9" ht="16.5" customHeight="1" x14ac:dyDescent="0.25">
      <c r="B394" s="4"/>
      <c r="C394" s="4"/>
      <c r="D394" s="4"/>
      <c r="E394" s="4"/>
      <c r="F394" s="5" t="str">
        <f>IFERROR(IF(E394="","",VLOOKUP(E394,Catalogo!$B$10:$D$209,2,0)),"")</f>
        <v/>
      </c>
      <c r="G394" s="5" t="str">
        <f>IFERROR(IF(E394="","",VLOOKUP(E394,Catalogo!$B$10:$D$209,3,0)),"")</f>
        <v/>
      </c>
      <c r="H394" s="4"/>
      <c r="I394" s="4" t="str">
        <f>IF(E394="","",SUMPRODUCT((E$9:E394=E394)*(C$9:C394&lt;&gt;"Salida")*H$9:H394)-SUMPRODUCT((E$9:E394=E394)*(C$9:C394="Salida")*H$9:H394))</f>
        <v/>
      </c>
    </row>
    <row r="395" spans="2:9" ht="16.5" customHeight="1" x14ac:dyDescent="0.25">
      <c r="B395" s="6"/>
      <c r="C395" s="6"/>
      <c r="D395" s="6"/>
      <c r="E395" s="6"/>
      <c r="F395" s="7" t="str">
        <f>IFERROR(IF(E395="","",VLOOKUP(E395,Catalogo!$B$10:$D$209,2,0)),"")</f>
        <v/>
      </c>
      <c r="G395" s="7" t="str">
        <f>IFERROR(IF(E395="","",VLOOKUP(E395,Catalogo!$B$10:$D$209,3,0)),"")</f>
        <v/>
      </c>
      <c r="H395" s="6"/>
      <c r="I395" s="6" t="str">
        <f>IF(E395="","",SUMPRODUCT((E$9:E395=E395)*(C$9:C395&lt;&gt;"Salida")*H$9:H395)-SUMPRODUCT((E$9:E395=E395)*(C$9:C395="Salida")*H$9:H395))</f>
        <v/>
      </c>
    </row>
    <row r="396" spans="2:9" ht="16.5" customHeight="1" x14ac:dyDescent="0.25">
      <c r="B396" s="4"/>
      <c r="C396" s="4"/>
      <c r="D396" s="4"/>
      <c r="E396" s="4"/>
      <c r="F396" s="5" t="str">
        <f>IFERROR(IF(E396="","",VLOOKUP(E396,Catalogo!$B$10:$D$209,2,0)),"")</f>
        <v/>
      </c>
      <c r="G396" s="5" t="str">
        <f>IFERROR(IF(E396="","",VLOOKUP(E396,Catalogo!$B$10:$D$209,3,0)),"")</f>
        <v/>
      </c>
      <c r="H396" s="4"/>
      <c r="I396" s="4" t="str">
        <f>IF(E396="","",SUMPRODUCT((E$9:E396=E396)*(C$9:C396&lt;&gt;"Salida")*H$9:H396)-SUMPRODUCT((E$9:E396=E396)*(C$9:C396="Salida")*H$9:H396))</f>
        <v/>
      </c>
    </row>
    <row r="397" spans="2:9" ht="16.5" customHeight="1" x14ac:dyDescent="0.25">
      <c r="B397" s="6"/>
      <c r="C397" s="6"/>
      <c r="D397" s="6"/>
      <c r="E397" s="6"/>
      <c r="F397" s="7" t="str">
        <f>IFERROR(IF(E397="","",VLOOKUP(E397,Catalogo!$B$10:$D$209,2,0)),"")</f>
        <v/>
      </c>
      <c r="G397" s="7" t="str">
        <f>IFERROR(IF(E397="","",VLOOKUP(E397,Catalogo!$B$10:$D$209,3,0)),"")</f>
        <v/>
      </c>
      <c r="H397" s="6"/>
      <c r="I397" s="6" t="str">
        <f>IF(E397="","",SUMPRODUCT((E$9:E397=E397)*(C$9:C397&lt;&gt;"Salida")*H$9:H397)-SUMPRODUCT((E$9:E397=E397)*(C$9:C397="Salida")*H$9:H397))</f>
        <v/>
      </c>
    </row>
    <row r="398" spans="2:9" ht="16.5" customHeight="1" x14ac:dyDescent="0.25">
      <c r="B398" s="4"/>
      <c r="C398" s="4"/>
      <c r="D398" s="4"/>
      <c r="E398" s="4"/>
      <c r="F398" s="5" t="str">
        <f>IFERROR(IF(E398="","",VLOOKUP(E398,Catalogo!$B$10:$D$209,2,0)),"")</f>
        <v/>
      </c>
      <c r="G398" s="5" t="str">
        <f>IFERROR(IF(E398="","",VLOOKUP(E398,Catalogo!$B$10:$D$209,3,0)),"")</f>
        <v/>
      </c>
      <c r="H398" s="4"/>
      <c r="I398" s="4" t="str">
        <f>IF(E398="","",SUMPRODUCT((E$9:E398=E398)*(C$9:C398&lt;&gt;"Salida")*H$9:H398)-SUMPRODUCT((E$9:E398=E398)*(C$9:C398="Salida")*H$9:H398))</f>
        <v/>
      </c>
    </row>
    <row r="399" spans="2:9" ht="16.5" customHeight="1" x14ac:dyDescent="0.25">
      <c r="B399" s="6"/>
      <c r="C399" s="6"/>
      <c r="D399" s="6"/>
      <c r="E399" s="6"/>
      <c r="F399" s="7" t="str">
        <f>IFERROR(IF(E399="","",VLOOKUP(E399,Catalogo!$B$10:$D$209,2,0)),"")</f>
        <v/>
      </c>
      <c r="G399" s="7" t="str">
        <f>IFERROR(IF(E399="","",VLOOKUP(E399,Catalogo!$B$10:$D$209,3,0)),"")</f>
        <v/>
      </c>
      <c r="H399" s="6"/>
      <c r="I399" s="6" t="str">
        <f>IF(E399="","",SUMPRODUCT((E$9:E399=E399)*(C$9:C399&lt;&gt;"Salida")*H$9:H399)-SUMPRODUCT((E$9:E399=E399)*(C$9:C399="Salida")*H$9:H399))</f>
        <v/>
      </c>
    </row>
    <row r="400" spans="2:9" ht="16.5" customHeight="1" x14ac:dyDescent="0.25">
      <c r="B400" s="4"/>
      <c r="C400" s="4"/>
      <c r="D400" s="4"/>
      <c r="E400" s="4"/>
      <c r="F400" s="5" t="str">
        <f>IFERROR(IF(E400="","",VLOOKUP(E400,Catalogo!$B$10:$D$209,2,0)),"")</f>
        <v/>
      </c>
      <c r="G400" s="5" t="str">
        <f>IFERROR(IF(E400="","",VLOOKUP(E400,Catalogo!$B$10:$D$209,3,0)),"")</f>
        <v/>
      </c>
      <c r="H400" s="4"/>
      <c r="I400" s="4" t="str">
        <f>IF(E400="","",SUMPRODUCT((E$9:E400=E400)*(C$9:C400&lt;&gt;"Salida")*H$9:H400)-SUMPRODUCT((E$9:E400=E400)*(C$9:C400="Salida")*H$9:H400))</f>
        <v/>
      </c>
    </row>
    <row r="401" spans="2:9" ht="16.5" customHeight="1" x14ac:dyDescent="0.25">
      <c r="B401" s="6"/>
      <c r="C401" s="6"/>
      <c r="D401" s="6"/>
      <c r="E401" s="6"/>
      <c r="F401" s="7" t="str">
        <f>IFERROR(IF(E401="","",VLOOKUP(E401,Catalogo!$B$10:$D$209,2,0)),"")</f>
        <v/>
      </c>
      <c r="G401" s="7" t="str">
        <f>IFERROR(IF(E401="","",VLOOKUP(E401,Catalogo!$B$10:$D$209,3,0)),"")</f>
        <v/>
      </c>
      <c r="H401" s="6"/>
      <c r="I401" s="6" t="str">
        <f>IF(E401="","",SUMPRODUCT((E$9:E401=E401)*(C$9:C401&lt;&gt;"Salida")*H$9:H401)-SUMPRODUCT((E$9:E401=E401)*(C$9:C401="Salida")*H$9:H401))</f>
        <v/>
      </c>
    </row>
    <row r="402" spans="2:9" ht="16.5" customHeight="1" x14ac:dyDescent="0.25">
      <c r="B402" s="4"/>
      <c r="C402" s="4"/>
      <c r="D402" s="4"/>
      <c r="E402" s="4"/>
      <c r="F402" s="5" t="str">
        <f>IFERROR(IF(E402="","",VLOOKUP(E402,Catalogo!$B$10:$D$209,2,0)),"")</f>
        <v/>
      </c>
      <c r="G402" s="5" t="str">
        <f>IFERROR(IF(E402="","",VLOOKUP(E402,Catalogo!$B$10:$D$209,3,0)),"")</f>
        <v/>
      </c>
      <c r="H402" s="4"/>
      <c r="I402" s="4" t="str">
        <f>IF(E402="","",SUMPRODUCT((E$9:E402=E402)*(C$9:C402&lt;&gt;"Salida")*H$9:H402)-SUMPRODUCT((E$9:E402=E402)*(C$9:C402="Salida")*H$9:H402))</f>
        <v/>
      </c>
    </row>
    <row r="403" spans="2:9" ht="16.5" customHeight="1" x14ac:dyDescent="0.25">
      <c r="B403" s="6"/>
      <c r="C403" s="6"/>
      <c r="D403" s="6"/>
      <c r="E403" s="6"/>
      <c r="F403" s="7" t="str">
        <f>IFERROR(IF(E403="","",VLOOKUP(E403,Catalogo!$B$10:$D$209,2,0)),"")</f>
        <v/>
      </c>
      <c r="G403" s="7" t="str">
        <f>IFERROR(IF(E403="","",VLOOKUP(E403,Catalogo!$B$10:$D$209,3,0)),"")</f>
        <v/>
      </c>
      <c r="H403" s="6"/>
      <c r="I403" s="6" t="str">
        <f>IF(E403="","",SUMPRODUCT((E$9:E403=E403)*(C$9:C403&lt;&gt;"Salida")*H$9:H403)-SUMPRODUCT((E$9:E403=E403)*(C$9:C403="Salida")*H$9:H403))</f>
        <v/>
      </c>
    </row>
    <row r="404" spans="2:9" ht="16.5" customHeight="1" x14ac:dyDescent="0.25">
      <c r="B404" s="4"/>
      <c r="C404" s="4"/>
      <c r="D404" s="4"/>
      <c r="E404" s="4"/>
      <c r="F404" s="5" t="str">
        <f>IFERROR(IF(E404="","",VLOOKUP(E404,Catalogo!$B$10:$D$209,2,0)),"")</f>
        <v/>
      </c>
      <c r="G404" s="5" t="str">
        <f>IFERROR(IF(E404="","",VLOOKUP(E404,Catalogo!$B$10:$D$209,3,0)),"")</f>
        <v/>
      </c>
      <c r="H404" s="4"/>
      <c r="I404" s="4" t="str">
        <f>IF(E404="","",SUMPRODUCT((E$9:E404=E404)*(C$9:C404&lt;&gt;"Salida")*H$9:H404)-SUMPRODUCT((E$9:E404=E404)*(C$9:C404="Salida")*H$9:H404))</f>
        <v/>
      </c>
    </row>
    <row r="405" spans="2:9" ht="16.5" customHeight="1" x14ac:dyDescent="0.25">
      <c r="B405" s="6"/>
      <c r="C405" s="6"/>
      <c r="D405" s="6"/>
      <c r="E405" s="6"/>
      <c r="F405" s="7" t="str">
        <f>IFERROR(IF(E405="","",VLOOKUP(E405,Catalogo!$B$10:$D$209,2,0)),"")</f>
        <v/>
      </c>
      <c r="G405" s="7" t="str">
        <f>IFERROR(IF(E405="","",VLOOKUP(E405,Catalogo!$B$10:$D$209,3,0)),"")</f>
        <v/>
      </c>
      <c r="H405" s="6"/>
      <c r="I405" s="6" t="str">
        <f>IF(E405="","",SUMPRODUCT((E$9:E405=E405)*(C$9:C405&lt;&gt;"Salida")*H$9:H405)-SUMPRODUCT((E$9:E405=E405)*(C$9:C405="Salida")*H$9:H405))</f>
        <v/>
      </c>
    </row>
    <row r="406" spans="2:9" ht="16.5" customHeight="1" x14ac:dyDescent="0.25">
      <c r="B406" s="4"/>
      <c r="C406" s="4"/>
      <c r="D406" s="4"/>
      <c r="E406" s="4"/>
      <c r="F406" s="5" t="str">
        <f>IFERROR(IF(E406="","",VLOOKUP(E406,Catalogo!$B$10:$D$209,2,0)),"")</f>
        <v/>
      </c>
      <c r="G406" s="5" t="str">
        <f>IFERROR(IF(E406="","",VLOOKUP(E406,Catalogo!$B$10:$D$209,3,0)),"")</f>
        <v/>
      </c>
      <c r="H406" s="4"/>
      <c r="I406" s="4" t="str">
        <f>IF(E406="","",SUMPRODUCT((E$9:E406=E406)*(C$9:C406&lt;&gt;"Salida")*H$9:H406)-SUMPRODUCT((E$9:E406=E406)*(C$9:C406="Salida")*H$9:H406))</f>
        <v/>
      </c>
    </row>
    <row r="407" spans="2:9" ht="16.5" customHeight="1" x14ac:dyDescent="0.25">
      <c r="B407" s="6"/>
      <c r="C407" s="6"/>
      <c r="D407" s="6"/>
      <c r="E407" s="6"/>
      <c r="F407" s="7" t="str">
        <f>IFERROR(IF(E407="","",VLOOKUP(E407,Catalogo!$B$10:$D$209,2,0)),"")</f>
        <v/>
      </c>
      <c r="G407" s="7" t="str">
        <f>IFERROR(IF(E407="","",VLOOKUP(E407,Catalogo!$B$10:$D$209,3,0)),"")</f>
        <v/>
      </c>
      <c r="H407" s="6"/>
      <c r="I407" s="6" t="str">
        <f>IF(E407="","",SUMPRODUCT((E$9:E407=E407)*(C$9:C407&lt;&gt;"Salida")*H$9:H407)-SUMPRODUCT((E$9:E407=E407)*(C$9:C407="Salida")*H$9:H407))</f>
        <v/>
      </c>
    </row>
    <row r="408" spans="2:9" ht="16.5" customHeight="1" x14ac:dyDescent="0.25">
      <c r="B408" s="4"/>
      <c r="C408" s="4"/>
      <c r="D408" s="4"/>
      <c r="E408" s="4"/>
      <c r="F408" s="5" t="str">
        <f>IFERROR(IF(E408="","",VLOOKUP(E408,Catalogo!$B$10:$D$209,2,0)),"")</f>
        <v/>
      </c>
      <c r="G408" s="5" t="str">
        <f>IFERROR(IF(E408="","",VLOOKUP(E408,Catalogo!$B$10:$D$209,3,0)),"")</f>
        <v/>
      </c>
      <c r="H408" s="4"/>
      <c r="I408" s="4" t="str">
        <f>IF(E408="","",SUMPRODUCT((E$9:E408=E408)*(C$9:C408&lt;&gt;"Salida")*H$9:H408)-SUMPRODUCT((E$9:E408=E408)*(C$9:C408="Salida")*H$9:H408))</f>
        <v/>
      </c>
    </row>
    <row r="409" spans="2:9" ht="16.5" customHeight="1" x14ac:dyDescent="0.25">
      <c r="B409" s="6"/>
      <c r="C409" s="6"/>
      <c r="D409" s="6"/>
      <c r="E409" s="6"/>
      <c r="F409" s="7" t="str">
        <f>IFERROR(IF(E409="","",VLOOKUP(E409,Catalogo!$B$10:$D$209,2,0)),"")</f>
        <v/>
      </c>
      <c r="G409" s="7" t="str">
        <f>IFERROR(IF(E409="","",VLOOKUP(E409,Catalogo!$B$10:$D$209,3,0)),"")</f>
        <v/>
      </c>
      <c r="H409" s="6"/>
      <c r="I409" s="6" t="str">
        <f>IF(E409="","",SUMPRODUCT((E$9:E409=E409)*(C$9:C409&lt;&gt;"Salida")*H$9:H409)-SUMPRODUCT((E$9:E409=E409)*(C$9:C409="Salida")*H$9:H409))</f>
        <v/>
      </c>
    </row>
    <row r="410" spans="2:9" ht="16.5" customHeight="1" x14ac:dyDescent="0.25">
      <c r="B410" s="4"/>
      <c r="C410" s="4"/>
      <c r="D410" s="4"/>
      <c r="E410" s="4"/>
      <c r="F410" s="5" t="str">
        <f>IFERROR(IF(E410="","",VLOOKUP(E410,Catalogo!$B$10:$D$209,2,0)),"")</f>
        <v/>
      </c>
      <c r="G410" s="5" t="str">
        <f>IFERROR(IF(E410="","",VLOOKUP(E410,Catalogo!$B$10:$D$209,3,0)),"")</f>
        <v/>
      </c>
      <c r="H410" s="4"/>
      <c r="I410" s="4" t="str">
        <f>IF(E410="","",SUMPRODUCT((E$9:E410=E410)*(C$9:C410&lt;&gt;"Salida")*H$9:H410)-SUMPRODUCT((E$9:E410=E410)*(C$9:C410="Salida")*H$9:H410))</f>
        <v/>
      </c>
    </row>
    <row r="411" spans="2:9" ht="16.5" customHeight="1" x14ac:dyDescent="0.25">
      <c r="B411" s="6"/>
      <c r="C411" s="6"/>
      <c r="D411" s="6"/>
      <c r="E411" s="6"/>
      <c r="F411" s="7" t="str">
        <f>IFERROR(IF(E411="","",VLOOKUP(E411,Catalogo!$B$10:$D$209,2,0)),"")</f>
        <v/>
      </c>
      <c r="G411" s="7" t="str">
        <f>IFERROR(IF(E411="","",VLOOKUP(E411,Catalogo!$B$10:$D$209,3,0)),"")</f>
        <v/>
      </c>
      <c r="H411" s="6"/>
      <c r="I411" s="6" t="str">
        <f>IF(E411="","",SUMPRODUCT((E$9:E411=E411)*(C$9:C411&lt;&gt;"Salida")*H$9:H411)-SUMPRODUCT((E$9:E411=E411)*(C$9:C411="Salida")*H$9:H411))</f>
        <v/>
      </c>
    </row>
    <row r="412" spans="2:9" ht="16.5" customHeight="1" x14ac:dyDescent="0.25">
      <c r="B412" s="4"/>
      <c r="C412" s="4"/>
      <c r="D412" s="4"/>
      <c r="E412" s="4"/>
      <c r="F412" s="5" t="str">
        <f>IFERROR(IF(E412="","",VLOOKUP(E412,Catalogo!$B$10:$D$209,2,0)),"")</f>
        <v/>
      </c>
      <c r="G412" s="5" t="str">
        <f>IFERROR(IF(E412="","",VLOOKUP(E412,Catalogo!$B$10:$D$209,3,0)),"")</f>
        <v/>
      </c>
      <c r="H412" s="4"/>
      <c r="I412" s="4" t="str">
        <f>IF(E412="","",SUMPRODUCT((E$9:E412=E412)*(C$9:C412&lt;&gt;"Salida")*H$9:H412)-SUMPRODUCT((E$9:E412=E412)*(C$9:C412="Salida")*H$9:H412))</f>
        <v/>
      </c>
    </row>
    <row r="413" spans="2:9" ht="16.5" customHeight="1" x14ac:dyDescent="0.25">
      <c r="B413" s="6"/>
      <c r="C413" s="6"/>
      <c r="D413" s="6"/>
      <c r="E413" s="6"/>
      <c r="F413" s="7" t="str">
        <f>IFERROR(IF(E413="","",VLOOKUP(E413,Catalogo!$B$10:$D$209,2,0)),"")</f>
        <v/>
      </c>
      <c r="G413" s="7" t="str">
        <f>IFERROR(IF(E413="","",VLOOKUP(E413,Catalogo!$B$10:$D$209,3,0)),"")</f>
        <v/>
      </c>
      <c r="H413" s="6"/>
      <c r="I413" s="6" t="str">
        <f>IF(E413="","",SUMPRODUCT((E$9:E413=E413)*(C$9:C413&lt;&gt;"Salida")*H$9:H413)-SUMPRODUCT((E$9:E413=E413)*(C$9:C413="Salida")*H$9:H413))</f>
        <v/>
      </c>
    </row>
    <row r="414" spans="2:9" ht="16.5" customHeight="1" x14ac:dyDescent="0.25">
      <c r="B414" s="4"/>
      <c r="C414" s="4"/>
      <c r="D414" s="4"/>
      <c r="E414" s="4"/>
      <c r="F414" s="5" t="str">
        <f>IFERROR(IF(E414="","",VLOOKUP(E414,Catalogo!$B$10:$D$209,2,0)),"")</f>
        <v/>
      </c>
      <c r="G414" s="5" t="str">
        <f>IFERROR(IF(E414="","",VLOOKUP(E414,Catalogo!$B$10:$D$209,3,0)),"")</f>
        <v/>
      </c>
      <c r="H414" s="4"/>
      <c r="I414" s="4" t="str">
        <f>IF(E414="","",SUMPRODUCT((E$9:E414=E414)*(C$9:C414&lt;&gt;"Salida")*H$9:H414)-SUMPRODUCT((E$9:E414=E414)*(C$9:C414="Salida")*H$9:H414))</f>
        <v/>
      </c>
    </row>
    <row r="415" spans="2:9" ht="16.5" customHeight="1" x14ac:dyDescent="0.25">
      <c r="B415" s="6"/>
      <c r="C415" s="6"/>
      <c r="D415" s="6"/>
      <c r="E415" s="6"/>
      <c r="F415" s="7" t="str">
        <f>IFERROR(IF(E415="","",VLOOKUP(E415,Catalogo!$B$10:$D$209,2,0)),"")</f>
        <v/>
      </c>
      <c r="G415" s="7" t="str">
        <f>IFERROR(IF(E415="","",VLOOKUP(E415,Catalogo!$B$10:$D$209,3,0)),"")</f>
        <v/>
      </c>
      <c r="H415" s="6"/>
      <c r="I415" s="6" t="str">
        <f>IF(E415="","",SUMPRODUCT((E$9:E415=E415)*(C$9:C415&lt;&gt;"Salida")*H$9:H415)-SUMPRODUCT((E$9:E415=E415)*(C$9:C415="Salida")*H$9:H415))</f>
        <v/>
      </c>
    </row>
    <row r="416" spans="2:9" ht="16.5" customHeight="1" x14ac:dyDescent="0.25">
      <c r="B416" s="4"/>
      <c r="C416" s="4"/>
      <c r="D416" s="4"/>
      <c r="E416" s="4"/>
      <c r="F416" s="5" t="str">
        <f>IFERROR(IF(E416="","",VLOOKUP(E416,Catalogo!$B$10:$D$209,2,0)),"")</f>
        <v/>
      </c>
      <c r="G416" s="5" t="str">
        <f>IFERROR(IF(E416="","",VLOOKUP(E416,Catalogo!$B$10:$D$209,3,0)),"")</f>
        <v/>
      </c>
      <c r="H416" s="4"/>
      <c r="I416" s="4" t="str">
        <f>IF(E416="","",SUMPRODUCT((E$9:E416=E416)*(C$9:C416&lt;&gt;"Salida")*H$9:H416)-SUMPRODUCT((E$9:E416=E416)*(C$9:C416="Salida")*H$9:H416))</f>
        <v/>
      </c>
    </row>
    <row r="417" spans="2:9" ht="16.5" customHeight="1" x14ac:dyDescent="0.25">
      <c r="B417" s="6"/>
      <c r="C417" s="6"/>
      <c r="D417" s="6"/>
      <c r="E417" s="6"/>
      <c r="F417" s="7" t="str">
        <f>IFERROR(IF(E417="","",VLOOKUP(E417,Catalogo!$B$10:$D$209,2,0)),"")</f>
        <v/>
      </c>
      <c r="G417" s="7" t="str">
        <f>IFERROR(IF(E417="","",VLOOKUP(E417,Catalogo!$B$10:$D$209,3,0)),"")</f>
        <v/>
      </c>
      <c r="H417" s="6"/>
      <c r="I417" s="6" t="str">
        <f>IF(E417="","",SUMPRODUCT((E$9:E417=E417)*(C$9:C417&lt;&gt;"Salida")*H$9:H417)-SUMPRODUCT((E$9:E417=E417)*(C$9:C417="Salida")*H$9:H417))</f>
        <v/>
      </c>
    </row>
    <row r="418" spans="2:9" ht="16.5" customHeight="1" x14ac:dyDescent="0.25">
      <c r="B418" s="4"/>
      <c r="C418" s="4"/>
      <c r="D418" s="4"/>
      <c r="E418" s="4"/>
      <c r="F418" s="5" t="str">
        <f>IFERROR(IF(E418="","",VLOOKUP(E418,Catalogo!$B$10:$D$209,2,0)),"")</f>
        <v/>
      </c>
      <c r="G418" s="5" t="str">
        <f>IFERROR(IF(E418="","",VLOOKUP(E418,Catalogo!$B$10:$D$209,3,0)),"")</f>
        <v/>
      </c>
      <c r="H418" s="4"/>
      <c r="I418" s="4" t="str">
        <f>IF(E418="","",SUMPRODUCT((E$9:E418=E418)*(C$9:C418&lt;&gt;"Salida")*H$9:H418)-SUMPRODUCT((E$9:E418=E418)*(C$9:C418="Salida")*H$9:H418))</f>
        <v/>
      </c>
    </row>
    <row r="419" spans="2:9" ht="16.5" customHeight="1" x14ac:dyDescent="0.25">
      <c r="B419" s="6"/>
      <c r="C419" s="6"/>
      <c r="D419" s="6"/>
      <c r="E419" s="6"/>
      <c r="F419" s="7" t="str">
        <f>IFERROR(IF(E419="","",VLOOKUP(E419,Catalogo!$B$10:$D$209,2,0)),"")</f>
        <v/>
      </c>
      <c r="G419" s="7" t="str">
        <f>IFERROR(IF(E419="","",VLOOKUP(E419,Catalogo!$B$10:$D$209,3,0)),"")</f>
        <v/>
      </c>
      <c r="H419" s="6"/>
      <c r="I419" s="6" t="str">
        <f>IF(E419="","",SUMPRODUCT((E$9:E419=E419)*(C$9:C419&lt;&gt;"Salida")*H$9:H419)-SUMPRODUCT((E$9:E419=E419)*(C$9:C419="Salida")*H$9:H419))</f>
        <v/>
      </c>
    </row>
    <row r="420" spans="2:9" ht="16.5" customHeight="1" x14ac:dyDescent="0.25">
      <c r="B420" s="4"/>
      <c r="C420" s="4"/>
      <c r="D420" s="4"/>
      <c r="E420" s="4"/>
      <c r="F420" s="5" t="str">
        <f>IFERROR(IF(E420="","",VLOOKUP(E420,Catalogo!$B$10:$D$209,2,0)),"")</f>
        <v/>
      </c>
      <c r="G420" s="5" t="str">
        <f>IFERROR(IF(E420="","",VLOOKUP(E420,Catalogo!$B$10:$D$209,3,0)),"")</f>
        <v/>
      </c>
      <c r="H420" s="4"/>
      <c r="I420" s="4" t="str">
        <f>IF(E420="","",SUMPRODUCT((E$9:E420=E420)*(C$9:C420&lt;&gt;"Salida")*H$9:H420)-SUMPRODUCT((E$9:E420=E420)*(C$9:C420="Salida")*H$9:H420))</f>
        <v/>
      </c>
    </row>
    <row r="421" spans="2:9" ht="16.5" customHeight="1" x14ac:dyDescent="0.25">
      <c r="B421" s="6"/>
      <c r="C421" s="6"/>
      <c r="D421" s="6"/>
      <c r="E421" s="6"/>
      <c r="F421" s="7" t="str">
        <f>IFERROR(IF(E421="","",VLOOKUP(E421,Catalogo!$B$10:$D$209,2,0)),"")</f>
        <v/>
      </c>
      <c r="G421" s="7" t="str">
        <f>IFERROR(IF(E421="","",VLOOKUP(E421,Catalogo!$B$10:$D$209,3,0)),"")</f>
        <v/>
      </c>
      <c r="H421" s="6"/>
      <c r="I421" s="6" t="str">
        <f>IF(E421="","",SUMPRODUCT((E$9:E421=E421)*(C$9:C421&lt;&gt;"Salida")*H$9:H421)-SUMPRODUCT((E$9:E421=E421)*(C$9:C421="Salida")*H$9:H421))</f>
        <v/>
      </c>
    </row>
    <row r="422" spans="2:9" ht="16.5" customHeight="1" x14ac:dyDescent="0.25">
      <c r="B422" s="4"/>
      <c r="C422" s="4"/>
      <c r="D422" s="4"/>
      <c r="E422" s="4"/>
      <c r="F422" s="5" t="str">
        <f>IFERROR(IF(E422="","",VLOOKUP(E422,Catalogo!$B$10:$D$209,2,0)),"")</f>
        <v/>
      </c>
      <c r="G422" s="5" t="str">
        <f>IFERROR(IF(E422="","",VLOOKUP(E422,Catalogo!$B$10:$D$209,3,0)),"")</f>
        <v/>
      </c>
      <c r="H422" s="4"/>
      <c r="I422" s="4" t="str">
        <f>IF(E422="","",SUMPRODUCT((E$9:E422=E422)*(C$9:C422&lt;&gt;"Salida")*H$9:H422)-SUMPRODUCT((E$9:E422=E422)*(C$9:C422="Salida")*H$9:H422))</f>
        <v/>
      </c>
    </row>
    <row r="423" spans="2:9" ht="16.5" customHeight="1" x14ac:dyDescent="0.25">
      <c r="B423" s="6"/>
      <c r="C423" s="6"/>
      <c r="D423" s="6"/>
      <c r="E423" s="6"/>
      <c r="F423" s="7" t="str">
        <f>IFERROR(IF(E423="","",VLOOKUP(E423,Catalogo!$B$10:$D$209,2,0)),"")</f>
        <v/>
      </c>
      <c r="G423" s="7" t="str">
        <f>IFERROR(IF(E423="","",VLOOKUP(E423,Catalogo!$B$10:$D$209,3,0)),"")</f>
        <v/>
      </c>
      <c r="H423" s="6"/>
      <c r="I423" s="6" t="str">
        <f>IF(E423="","",SUMPRODUCT((E$9:E423=E423)*(C$9:C423&lt;&gt;"Salida")*H$9:H423)-SUMPRODUCT((E$9:E423=E423)*(C$9:C423="Salida")*H$9:H423))</f>
        <v/>
      </c>
    </row>
    <row r="424" spans="2:9" ht="16.5" customHeight="1" x14ac:dyDescent="0.25">
      <c r="B424" s="4"/>
      <c r="C424" s="4"/>
      <c r="D424" s="4"/>
      <c r="E424" s="4"/>
      <c r="F424" s="5" t="str">
        <f>IFERROR(IF(E424="","",VLOOKUP(E424,Catalogo!$B$10:$D$209,2,0)),"")</f>
        <v/>
      </c>
      <c r="G424" s="5" t="str">
        <f>IFERROR(IF(E424="","",VLOOKUP(E424,Catalogo!$B$10:$D$209,3,0)),"")</f>
        <v/>
      </c>
      <c r="H424" s="4"/>
      <c r="I424" s="4" t="str">
        <f>IF(E424="","",SUMPRODUCT((E$9:E424=E424)*(C$9:C424&lt;&gt;"Salida")*H$9:H424)-SUMPRODUCT((E$9:E424=E424)*(C$9:C424="Salida")*H$9:H424))</f>
        <v/>
      </c>
    </row>
    <row r="425" spans="2:9" ht="16.5" customHeight="1" x14ac:dyDescent="0.25">
      <c r="B425" s="6"/>
      <c r="C425" s="6"/>
      <c r="D425" s="6"/>
      <c r="E425" s="6"/>
      <c r="F425" s="7" t="str">
        <f>IFERROR(IF(E425="","",VLOOKUP(E425,Catalogo!$B$10:$D$209,2,0)),"")</f>
        <v/>
      </c>
      <c r="G425" s="7" t="str">
        <f>IFERROR(IF(E425="","",VLOOKUP(E425,Catalogo!$B$10:$D$209,3,0)),"")</f>
        <v/>
      </c>
      <c r="H425" s="6"/>
      <c r="I425" s="6" t="str">
        <f>IF(E425="","",SUMPRODUCT((E$9:E425=E425)*(C$9:C425&lt;&gt;"Salida")*H$9:H425)-SUMPRODUCT((E$9:E425=E425)*(C$9:C425="Salida")*H$9:H425))</f>
        <v/>
      </c>
    </row>
    <row r="426" spans="2:9" ht="16.5" customHeight="1" x14ac:dyDescent="0.25">
      <c r="B426" s="4"/>
      <c r="C426" s="4"/>
      <c r="D426" s="4"/>
      <c r="E426" s="4"/>
      <c r="F426" s="5" t="str">
        <f>IFERROR(IF(E426="","",VLOOKUP(E426,Catalogo!$B$10:$D$209,2,0)),"")</f>
        <v/>
      </c>
      <c r="G426" s="5" t="str">
        <f>IFERROR(IF(E426="","",VLOOKUP(E426,Catalogo!$B$10:$D$209,3,0)),"")</f>
        <v/>
      </c>
      <c r="H426" s="4"/>
      <c r="I426" s="4" t="str">
        <f>IF(E426="","",SUMPRODUCT((E$9:E426=E426)*(C$9:C426&lt;&gt;"Salida")*H$9:H426)-SUMPRODUCT((E$9:E426=E426)*(C$9:C426="Salida")*H$9:H426))</f>
        <v/>
      </c>
    </row>
    <row r="427" spans="2:9" ht="16.5" customHeight="1" x14ac:dyDescent="0.25">
      <c r="B427" s="6"/>
      <c r="C427" s="6"/>
      <c r="D427" s="6"/>
      <c r="E427" s="6"/>
      <c r="F427" s="7" t="str">
        <f>IFERROR(IF(E427="","",VLOOKUP(E427,Catalogo!$B$10:$D$209,2,0)),"")</f>
        <v/>
      </c>
      <c r="G427" s="7" t="str">
        <f>IFERROR(IF(E427="","",VLOOKUP(E427,Catalogo!$B$10:$D$209,3,0)),"")</f>
        <v/>
      </c>
      <c r="H427" s="6"/>
      <c r="I427" s="6" t="str">
        <f>IF(E427="","",SUMPRODUCT((E$9:E427=E427)*(C$9:C427&lt;&gt;"Salida")*H$9:H427)-SUMPRODUCT((E$9:E427=E427)*(C$9:C427="Salida")*H$9:H427))</f>
        <v/>
      </c>
    </row>
    <row r="428" spans="2:9" ht="16.5" customHeight="1" x14ac:dyDescent="0.25">
      <c r="B428" s="4"/>
      <c r="C428" s="4"/>
      <c r="D428" s="4"/>
      <c r="E428" s="4"/>
      <c r="F428" s="5" t="str">
        <f>IFERROR(IF(E428="","",VLOOKUP(E428,Catalogo!$B$10:$D$209,2,0)),"")</f>
        <v/>
      </c>
      <c r="G428" s="5" t="str">
        <f>IFERROR(IF(E428="","",VLOOKUP(E428,Catalogo!$B$10:$D$209,3,0)),"")</f>
        <v/>
      </c>
      <c r="H428" s="4"/>
      <c r="I428" s="4" t="str">
        <f>IF(E428="","",SUMPRODUCT((E$9:E428=E428)*(C$9:C428&lt;&gt;"Salida")*H$9:H428)-SUMPRODUCT((E$9:E428=E428)*(C$9:C428="Salida")*H$9:H428))</f>
        <v/>
      </c>
    </row>
    <row r="429" spans="2:9" ht="16.5" customHeight="1" x14ac:dyDescent="0.25">
      <c r="B429" s="6"/>
      <c r="C429" s="6"/>
      <c r="D429" s="6"/>
      <c r="E429" s="6"/>
      <c r="F429" s="7" t="str">
        <f>IFERROR(IF(E429="","",VLOOKUP(E429,Catalogo!$B$10:$D$209,2,0)),"")</f>
        <v/>
      </c>
      <c r="G429" s="7" t="str">
        <f>IFERROR(IF(E429="","",VLOOKUP(E429,Catalogo!$B$10:$D$209,3,0)),"")</f>
        <v/>
      </c>
      <c r="H429" s="6"/>
      <c r="I429" s="6" t="str">
        <f>IF(E429="","",SUMPRODUCT((E$9:E429=E429)*(C$9:C429&lt;&gt;"Salida")*H$9:H429)-SUMPRODUCT((E$9:E429=E429)*(C$9:C429="Salida")*H$9:H429))</f>
        <v/>
      </c>
    </row>
    <row r="430" spans="2:9" ht="16.5" customHeight="1" x14ac:dyDescent="0.25">
      <c r="B430" s="4"/>
      <c r="C430" s="4"/>
      <c r="D430" s="4"/>
      <c r="E430" s="4"/>
      <c r="F430" s="5" t="str">
        <f>IFERROR(IF(E430="","",VLOOKUP(E430,Catalogo!$B$10:$D$209,2,0)),"")</f>
        <v/>
      </c>
      <c r="G430" s="5" t="str">
        <f>IFERROR(IF(E430="","",VLOOKUP(E430,Catalogo!$B$10:$D$209,3,0)),"")</f>
        <v/>
      </c>
      <c r="H430" s="4"/>
      <c r="I430" s="4" t="str">
        <f>IF(E430="","",SUMPRODUCT((E$9:E430=E430)*(C$9:C430&lt;&gt;"Salida")*H$9:H430)-SUMPRODUCT((E$9:E430=E430)*(C$9:C430="Salida")*H$9:H430))</f>
        <v/>
      </c>
    </row>
    <row r="431" spans="2:9" ht="16.5" customHeight="1" x14ac:dyDescent="0.25">
      <c r="B431" s="6"/>
      <c r="C431" s="6"/>
      <c r="D431" s="6"/>
      <c r="E431" s="6"/>
      <c r="F431" s="7" t="str">
        <f>IFERROR(IF(E431="","",VLOOKUP(E431,Catalogo!$B$10:$D$209,2,0)),"")</f>
        <v/>
      </c>
      <c r="G431" s="7" t="str">
        <f>IFERROR(IF(E431="","",VLOOKUP(E431,Catalogo!$B$10:$D$209,3,0)),"")</f>
        <v/>
      </c>
      <c r="H431" s="6"/>
      <c r="I431" s="6" t="str">
        <f>IF(E431="","",SUMPRODUCT((E$9:E431=E431)*(C$9:C431&lt;&gt;"Salida")*H$9:H431)-SUMPRODUCT((E$9:E431=E431)*(C$9:C431="Salida")*H$9:H431))</f>
        <v/>
      </c>
    </row>
    <row r="432" spans="2:9" ht="16.5" customHeight="1" x14ac:dyDescent="0.25">
      <c r="B432" s="4"/>
      <c r="C432" s="4"/>
      <c r="D432" s="4"/>
      <c r="E432" s="4"/>
      <c r="F432" s="5" t="str">
        <f>IFERROR(IF(E432="","",VLOOKUP(E432,Catalogo!$B$10:$D$209,2,0)),"")</f>
        <v/>
      </c>
      <c r="G432" s="5" t="str">
        <f>IFERROR(IF(E432="","",VLOOKUP(E432,Catalogo!$B$10:$D$209,3,0)),"")</f>
        <v/>
      </c>
      <c r="H432" s="4"/>
      <c r="I432" s="4" t="str">
        <f>IF(E432="","",SUMPRODUCT((E$9:E432=E432)*(C$9:C432&lt;&gt;"Salida")*H$9:H432)-SUMPRODUCT((E$9:E432=E432)*(C$9:C432="Salida")*H$9:H432))</f>
        <v/>
      </c>
    </row>
    <row r="433" spans="2:9" ht="16.5" customHeight="1" x14ac:dyDescent="0.25">
      <c r="B433" s="6"/>
      <c r="C433" s="6"/>
      <c r="D433" s="6"/>
      <c r="E433" s="6"/>
      <c r="F433" s="7" t="str">
        <f>IFERROR(IF(E433="","",VLOOKUP(E433,Catalogo!$B$10:$D$209,2,0)),"")</f>
        <v/>
      </c>
      <c r="G433" s="7" t="str">
        <f>IFERROR(IF(E433="","",VLOOKUP(E433,Catalogo!$B$10:$D$209,3,0)),"")</f>
        <v/>
      </c>
      <c r="H433" s="6"/>
      <c r="I433" s="6" t="str">
        <f>IF(E433="","",SUMPRODUCT((E$9:E433=E433)*(C$9:C433&lt;&gt;"Salida")*H$9:H433)-SUMPRODUCT((E$9:E433=E433)*(C$9:C433="Salida")*H$9:H433))</f>
        <v/>
      </c>
    </row>
    <row r="434" spans="2:9" ht="16.5" customHeight="1" x14ac:dyDescent="0.25">
      <c r="B434" s="4"/>
      <c r="C434" s="4"/>
      <c r="D434" s="4"/>
      <c r="E434" s="4"/>
      <c r="F434" s="5" t="str">
        <f>IFERROR(IF(E434="","",VLOOKUP(E434,Catalogo!$B$10:$D$209,2,0)),"")</f>
        <v/>
      </c>
      <c r="G434" s="5" t="str">
        <f>IFERROR(IF(E434="","",VLOOKUP(E434,Catalogo!$B$10:$D$209,3,0)),"")</f>
        <v/>
      </c>
      <c r="H434" s="4"/>
      <c r="I434" s="4" t="str">
        <f>IF(E434="","",SUMPRODUCT((E$9:E434=E434)*(C$9:C434&lt;&gt;"Salida")*H$9:H434)-SUMPRODUCT((E$9:E434=E434)*(C$9:C434="Salida")*H$9:H434))</f>
        <v/>
      </c>
    </row>
    <row r="435" spans="2:9" ht="16.5" customHeight="1" x14ac:dyDescent="0.25">
      <c r="B435" s="6"/>
      <c r="C435" s="6"/>
      <c r="D435" s="6"/>
      <c r="E435" s="6"/>
      <c r="F435" s="7" t="str">
        <f>IFERROR(IF(E435="","",VLOOKUP(E435,Catalogo!$B$10:$D$209,2,0)),"")</f>
        <v/>
      </c>
      <c r="G435" s="7" t="str">
        <f>IFERROR(IF(E435="","",VLOOKUP(E435,Catalogo!$B$10:$D$209,3,0)),"")</f>
        <v/>
      </c>
      <c r="H435" s="6"/>
      <c r="I435" s="6" t="str">
        <f>IF(E435="","",SUMPRODUCT((E$9:E435=E435)*(C$9:C435&lt;&gt;"Salida")*H$9:H435)-SUMPRODUCT((E$9:E435=E435)*(C$9:C435="Salida")*H$9:H435))</f>
        <v/>
      </c>
    </row>
    <row r="436" spans="2:9" ht="16.5" customHeight="1" x14ac:dyDescent="0.25">
      <c r="B436" s="4"/>
      <c r="C436" s="4"/>
      <c r="D436" s="4"/>
      <c r="E436" s="4"/>
      <c r="F436" s="5" t="str">
        <f>IFERROR(IF(E436="","",VLOOKUP(E436,Catalogo!$B$10:$D$209,2,0)),"")</f>
        <v/>
      </c>
      <c r="G436" s="5" t="str">
        <f>IFERROR(IF(E436="","",VLOOKUP(E436,Catalogo!$B$10:$D$209,3,0)),"")</f>
        <v/>
      </c>
      <c r="H436" s="4"/>
      <c r="I436" s="4" t="str">
        <f>IF(E436="","",SUMPRODUCT((E$9:E436=E436)*(C$9:C436&lt;&gt;"Salida")*H$9:H436)-SUMPRODUCT((E$9:E436=E436)*(C$9:C436="Salida")*H$9:H436))</f>
        <v/>
      </c>
    </row>
    <row r="437" spans="2:9" ht="16.5" customHeight="1" x14ac:dyDescent="0.25">
      <c r="B437" s="6"/>
      <c r="C437" s="6"/>
      <c r="D437" s="6"/>
      <c r="E437" s="6"/>
      <c r="F437" s="7" t="str">
        <f>IFERROR(IF(E437="","",VLOOKUP(E437,Catalogo!$B$10:$D$209,2,0)),"")</f>
        <v/>
      </c>
      <c r="G437" s="7" t="str">
        <f>IFERROR(IF(E437="","",VLOOKUP(E437,Catalogo!$B$10:$D$209,3,0)),"")</f>
        <v/>
      </c>
      <c r="H437" s="6"/>
      <c r="I437" s="6" t="str">
        <f>IF(E437="","",SUMPRODUCT((E$9:E437=E437)*(C$9:C437&lt;&gt;"Salida")*H$9:H437)-SUMPRODUCT((E$9:E437=E437)*(C$9:C437="Salida")*H$9:H437))</f>
        <v/>
      </c>
    </row>
    <row r="438" spans="2:9" ht="16.5" customHeight="1" x14ac:dyDescent="0.25">
      <c r="B438" s="4"/>
      <c r="C438" s="4"/>
      <c r="D438" s="4"/>
      <c r="E438" s="4"/>
      <c r="F438" s="5" t="str">
        <f>IFERROR(IF(E438="","",VLOOKUP(E438,Catalogo!$B$10:$D$209,2,0)),"")</f>
        <v/>
      </c>
      <c r="G438" s="5" t="str">
        <f>IFERROR(IF(E438="","",VLOOKUP(E438,Catalogo!$B$10:$D$209,3,0)),"")</f>
        <v/>
      </c>
      <c r="H438" s="4"/>
      <c r="I438" s="4" t="str">
        <f>IF(E438="","",SUMPRODUCT((E$9:E438=E438)*(C$9:C438&lt;&gt;"Salida")*H$9:H438)-SUMPRODUCT((E$9:E438=E438)*(C$9:C438="Salida")*H$9:H438))</f>
        <v/>
      </c>
    </row>
    <row r="439" spans="2:9" ht="16.5" customHeight="1" x14ac:dyDescent="0.25">
      <c r="B439" s="6"/>
      <c r="C439" s="6"/>
      <c r="D439" s="6"/>
      <c r="E439" s="6"/>
      <c r="F439" s="7" t="str">
        <f>IFERROR(IF(E439="","",VLOOKUP(E439,Catalogo!$B$10:$D$209,2,0)),"")</f>
        <v/>
      </c>
      <c r="G439" s="7" t="str">
        <f>IFERROR(IF(E439="","",VLOOKUP(E439,Catalogo!$B$10:$D$209,3,0)),"")</f>
        <v/>
      </c>
      <c r="H439" s="6"/>
      <c r="I439" s="6" t="str">
        <f>IF(E439="","",SUMPRODUCT((E$9:E439=E439)*(C$9:C439&lt;&gt;"Salida")*H$9:H439)-SUMPRODUCT((E$9:E439=E439)*(C$9:C439="Salida")*H$9:H439))</f>
        <v/>
      </c>
    </row>
    <row r="440" spans="2:9" ht="16.5" customHeight="1" x14ac:dyDescent="0.25">
      <c r="B440" s="4"/>
      <c r="C440" s="4"/>
      <c r="D440" s="4"/>
      <c r="E440" s="4"/>
      <c r="F440" s="5" t="str">
        <f>IFERROR(IF(E440="","",VLOOKUP(E440,Catalogo!$B$10:$D$209,2,0)),"")</f>
        <v/>
      </c>
      <c r="G440" s="5" t="str">
        <f>IFERROR(IF(E440="","",VLOOKUP(E440,Catalogo!$B$10:$D$209,3,0)),"")</f>
        <v/>
      </c>
      <c r="H440" s="4"/>
      <c r="I440" s="4" t="str">
        <f>IF(E440="","",SUMPRODUCT((E$9:E440=E440)*(C$9:C440&lt;&gt;"Salida")*H$9:H440)-SUMPRODUCT((E$9:E440=E440)*(C$9:C440="Salida")*H$9:H440))</f>
        <v/>
      </c>
    </row>
    <row r="441" spans="2:9" ht="16.5" customHeight="1" x14ac:dyDescent="0.25">
      <c r="B441" s="6"/>
      <c r="C441" s="6"/>
      <c r="D441" s="6"/>
      <c r="E441" s="6"/>
      <c r="F441" s="7" t="str">
        <f>IFERROR(IF(E441="","",VLOOKUP(E441,Catalogo!$B$10:$D$209,2,0)),"")</f>
        <v/>
      </c>
      <c r="G441" s="7" t="str">
        <f>IFERROR(IF(E441="","",VLOOKUP(E441,Catalogo!$B$10:$D$209,3,0)),"")</f>
        <v/>
      </c>
      <c r="H441" s="6"/>
      <c r="I441" s="6" t="str">
        <f>IF(E441="","",SUMPRODUCT((E$9:E441=E441)*(C$9:C441&lt;&gt;"Salida")*H$9:H441)-SUMPRODUCT((E$9:E441=E441)*(C$9:C441="Salida")*H$9:H441))</f>
        <v/>
      </c>
    </row>
    <row r="442" spans="2:9" ht="16.5" customHeight="1" x14ac:dyDescent="0.25">
      <c r="B442" s="4"/>
      <c r="C442" s="4"/>
      <c r="D442" s="4"/>
      <c r="E442" s="4"/>
      <c r="F442" s="5" t="str">
        <f>IFERROR(IF(E442="","",VLOOKUP(E442,Catalogo!$B$10:$D$209,2,0)),"")</f>
        <v/>
      </c>
      <c r="G442" s="5" t="str">
        <f>IFERROR(IF(E442="","",VLOOKUP(E442,Catalogo!$B$10:$D$209,3,0)),"")</f>
        <v/>
      </c>
      <c r="H442" s="4"/>
      <c r="I442" s="4" t="str">
        <f>IF(E442="","",SUMPRODUCT((E$9:E442=E442)*(C$9:C442&lt;&gt;"Salida")*H$9:H442)-SUMPRODUCT((E$9:E442=E442)*(C$9:C442="Salida")*H$9:H442))</f>
        <v/>
      </c>
    </row>
    <row r="443" spans="2:9" ht="16.5" customHeight="1" x14ac:dyDescent="0.25">
      <c r="B443" s="6"/>
      <c r="C443" s="6"/>
      <c r="D443" s="6"/>
      <c r="E443" s="6"/>
      <c r="F443" s="7" t="str">
        <f>IFERROR(IF(E443="","",VLOOKUP(E443,Catalogo!$B$10:$D$209,2,0)),"")</f>
        <v/>
      </c>
      <c r="G443" s="7" t="str">
        <f>IFERROR(IF(E443="","",VLOOKUP(E443,Catalogo!$B$10:$D$209,3,0)),"")</f>
        <v/>
      </c>
      <c r="H443" s="6"/>
      <c r="I443" s="6" t="str">
        <f>IF(E443="","",SUMPRODUCT((E$9:E443=E443)*(C$9:C443&lt;&gt;"Salida")*H$9:H443)-SUMPRODUCT((E$9:E443=E443)*(C$9:C443="Salida")*H$9:H443))</f>
        <v/>
      </c>
    </row>
    <row r="444" spans="2:9" ht="16.5" customHeight="1" x14ac:dyDescent="0.25">
      <c r="B444" s="4"/>
      <c r="C444" s="4"/>
      <c r="D444" s="4"/>
      <c r="E444" s="4"/>
      <c r="F444" s="5" t="str">
        <f>IFERROR(IF(E444="","",VLOOKUP(E444,Catalogo!$B$10:$D$209,2,0)),"")</f>
        <v/>
      </c>
      <c r="G444" s="5" t="str">
        <f>IFERROR(IF(E444="","",VLOOKUP(E444,Catalogo!$B$10:$D$209,3,0)),"")</f>
        <v/>
      </c>
      <c r="H444" s="4"/>
      <c r="I444" s="4" t="str">
        <f>IF(E444="","",SUMPRODUCT((E$9:E444=E444)*(C$9:C444&lt;&gt;"Salida")*H$9:H444)-SUMPRODUCT((E$9:E444=E444)*(C$9:C444="Salida")*H$9:H444))</f>
        <v/>
      </c>
    </row>
    <row r="445" spans="2:9" ht="16.5" customHeight="1" x14ac:dyDescent="0.25">
      <c r="B445" s="6"/>
      <c r="C445" s="6"/>
      <c r="D445" s="6"/>
      <c r="E445" s="6"/>
      <c r="F445" s="7" t="str">
        <f>IFERROR(IF(E445="","",VLOOKUP(E445,Catalogo!$B$10:$D$209,2,0)),"")</f>
        <v/>
      </c>
      <c r="G445" s="7" t="str">
        <f>IFERROR(IF(E445="","",VLOOKUP(E445,Catalogo!$B$10:$D$209,3,0)),"")</f>
        <v/>
      </c>
      <c r="H445" s="6"/>
      <c r="I445" s="6" t="str">
        <f>IF(E445="","",SUMPRODUCT((E$9:E445=E445)*(C$9:C445&lt;&gt;"Salida")*H$9:H445)-SUMPRODUCT((E$9:E445=E445)*(C$9:C445="Salida")*H$9:H445))</f>
        <v/>
      </c>
    </row>
    <row r="446" spans="2:9" ht="16.5" customHeight="1" x14ac:dyDescent="0.25">
      <c r="B446" s="4"/>
      <c r="C446" s="4"/>
      <c r="D446" s="4"/>
      <c r="E446" s="4"/>
      <c r="F446" s="5" t="str">
        <f>IFERROR(IF(E446="","",VLOOKUP(E446,Catalogo!$B$10:$D$209,2,0)),"")</f>
        <v/>
      </c>
      <c r="G446" s="5" t="str">
        <f>IFERROR(IF(E446="","",VLOOKUP(E446,Catalogo!$B$10:$D$209,3,0)),"")</f>
        <v/>
      </c>
      <c r="H446" s="4"/>
      <c r="I446" s="4" t="str">
        <f>IF(E446="","",SUMPRODUCT((E$9:E446=E446)*(C$9:C446&lt;&gt;"Salida")*H$9:H446)-SUMPRODUCT((E$9:E446=E446)*(C$9:C446="Salida")*H$9:H446))</f>
        <v/>
      </c>
    </row>
    <row r="447" spans="2:9" ht="16.5" customHeight="1" x14ac:dyDescent="0.25">
      <c r="B447" s="6"/>
      <c r="C447" s="6"/>
      <c r="D447" s="6"/>
      <c r="E447" s="6"/>
      <c r="F447" s="7" t="str">
        <f>IFERROR(IF(E447="","",VLOOKUP(E447,Catalogo!$B$10:$D$209,2,0)),"")</f>
        <v/>
      </c>
      <c r="G447" s="7" t="str">
        <f>IFERROR(IF(E447="","",VLOOKUP(E447,Catalogo!$B$10:$D$209,3,0)),"")</f>
        <v/>
      </c>
      <c r="H447" s="6"/>
      <c r="I447" s="6" t="str">
        <f>IF(E447="","",SUMPRODUCT((E$9:E447=E447)*(C$9:C447&lt;&gt;"Salida")*H$9:H447)-SUMPRODUCT((E$9:E447=E447)*(C$9:C447="Salida")*H$9:H447))</f>
        <v/>
      </c>
    </row>
    <row r="448" spans="2:9" ht="16.5" customHeight="1" x14ac:dyDescent="0.25">
      <c r="B448" s="4"/>
      <c r="C448" s="4"/>
      <c r="D448" s="4"/>
      <c r="E448" s="4"/>
      <c r="F448" s="5" t="str">
        <f>IFERROR(IF(E448="","",VLOOKUP(E448,Catalogo!$B$10:$D$209,2,0)),"")</f>
        <v/>
      </c>
      <c r="G448" s="5" t="str">
        <f>IFERROR(IF(E448="","",VLOOKUP(E448,Catalogo!$B$10:$D$209,3,0)),"")</f>
        <v/>
      </c>
      <c r="H448" s="4"/>
      <c r="I448" s="4" t="str">
        <f>IF(E448="","",SUMPRODUCT((E$9:E448=E448)*(C$9:C448&lt;&gt;"Salida")*H$9:H448)-SUMPRODUCT((E$9:E448=E448)*(C$9:C448="Salida")*H$9:H448))</f>
        <v/>
      </c>
    </row>
    <row r="449" spans="2:9" ht="16.5" customHeight="1" x14ac:dyDescent="0.25">
      <c r="B449" s="6"/>
      <c r="C449" s="6"/>
      <c r="D449" s="6"/>
      <c r="E449" s="6"/>
      <c r="F449" s="7" t="str">
        <f>IFERROR(IF(E449="","",VLOOKUP(E449,Catalogo!$B$10:$D$209,2,0)),"")</f>
        <v/>
      </c>
      <c r="G449" s="7" t="str">
        <f>IFERROR(IF(E449="","",VLOOKUP(E449,Catalogo!$B$10:$D$209,3,0)),"")</f>
        <v/>
      </c>
      <c r="H449" s="6"/>
      <c r="I449" s="6" t="str">
        <f>IF(E449="","",SUMPRODUCT((E$9:E449=E449)*(C$9:C449&lt;&gt;"Salida")*H$9:H449)-SUMPRODUCT((E$9:E449=E449)*(C$9:C449="Salida")*H$9:H449))</f>
        <v/>
      </c>
    </row>
    <row r="450" spans="2:9" ht="16.5" customHeight="1" x14ac:dyDescent="0.25">
      <c r="B450" s="4"/>
      <c r="C450" s="4"/>
      <c r="D450" s="4"/>
      <c r="E450" s="4"/>
      <c r="F450" s="5" t="str">
        <f>IFERROR(IF(E450="","",VLOOKUP(E450,Catalogo!$B$10:$D$209,2,0)),"")</f>
        <v/>
      </c>
      <c r="G450" s="5" t="str">
        <f>IFERROR(IF(E450="","",VLOOKUP(E450,Catalogo!$B$10:$D$209,3,0)),"")</f>
        <v/>
      </c>
      <c r="H450" s="4"/>
      <c r="I450" s="4" t="str">
        <f>IF(E450="","",SUMPRODUCT((E$9:E450=E450)*(C$9:C450&lt;&gt;"Salida")*H$9:H450)-SUMPRODUCT((E$9:E450=E450)*(C$9:C450="Salida")*H$9:H450))</f>
        <v/>
      </c>
    </row>
    <row r="451" spans="2:9" ht="16.5" customHeight="1" x14ac:dyDescent="0.25">
      <c r="B451" s="6"/>
      <c r="C451" s="6"/>
      <c r="D451" s="6"/>
      <c r="E451" s="6"/>
      <c r="F451" s="7" t="str">
        <f>IFERROR(IF(E451="","",VLOOKUP(E451,Catalogo!$B$10:$D$209,2,0)),"")</f>
        <v/>
      </c>
      <c r="G451" s="7" t="str">
        <f>IFERROR(IF(E451="","",VLOOKUP(E451,Catalogo!$B$10:$D$209,3,0)),"")</f>
        <v/>
      </c>
      <c r="H451" s="6"/>
      <c r="I451" s="6" t="str">
        <f>IF(E451="","",SUMPRODUCT((E$9:E451=E451)*(C$9:C451&lt;&gt;"Salida")*H$9:H451)-SUMPRODUCT((E$9:E451=E451)*(C$9:C451="Salida")*H$9:H451))</f>
        <v/>
      </c>
    </row>
    <row r="452" spans="2:9" ht="16.5" customHeight="1" x14ac:dyDescent="0.25">
      <c r="B452" s="4"/>
      <c r="C452" s="4"/>
      <c r="D452" s="4"/>
      <c r="E452" s="4"/>
      <c r="F452" s="5" t="str">
        <f>IFERROR(IF(E452="","",VLOOKUP(E452,Catalogo!$B$10:$D$209,2,0)),"")</f>
        <v/>
      </c>
      <c r="G452" s="5" t="str">
        <f>IFERROR(IF(E452="","",VLOOKUP(E452,Catalogo!$B$10:$D$209,3,0)),"")</f>
        <v/>
      </c>
      <c r="H452" s="4"/>
      <c r="I452" s="4" t="str">
        <f>IF(E452="","",SUMPRODUCT((E$9:E452=E452)*(C$9:C452&lt;&gt;"Salida")*H$9:H452)-SUMPRODUCT((E$9:E452=E452)*(C$9:C452="Salida")*H$9:H452))</f>
        <v/>
      </c>
    </row>
    <row r="453" spans="2:9" ht="16.5" customHeight="1" x14ac:dyDescent="0.25">
      <c r="B453" s="6"/>
      <c r="C453" s="6"/>
      <c r="D453" s="6"/>
      <c r="E453" s="6"/>
      <c r="F453" s="7" t="str">
        <f>IFERROR(IF(E453="","",VLOOKUP(E453,Catalogo!$B$10:$D$209,2,0)),"")</f>
        <v/>
      </c>
      <c r="G453" s="7" t="str">
        <f>IFERROR(IF(E453="","",VLOOKUP(E453,Catalogo!$B$10:$D$209,3,0)),"")</f>
        <v/>
      </c>
      <c r="H453" s="6"/>
      <c r="I453" s="6" t="str">
        <f>IF(E453="","",SUMPRODUCT((E$9:E453=E453)*(C$9:C453&lt;&gt;"Salida")*H$9:H453)-SUMPRODUCT((E$9:E453=E453)*(C$9:C453="Salida")*H$9:H453))</f>
        <v/>
      </c>
    </row>
    <row r="454" spans="2:9" ht="16.5" customHeight="1" x14ac:dyDescent="0.25">
      <c r="B454" s="4"/>
      <c r="C454" s="4"/>
      <c r="D454" s="4"/>
      <c r="E454" s="4"/>
      <c r="F454" s="5" t="str">
        <f>IFERROR(IF(E454="","",VLOOKUP(E454,Catalogo!$B$10:$D$209,2,0)),"")</f>
        <v/>
      </c>
      <c r="G454" s="5" t="str">
        <f>IFERROR(IF(E454="","",VLOOKUP(E454,Catalogo!$B$10:$D$209,3,0)),"")</f>
        <v/>
      </c>
      <c r="H454" s="4"/>
      <c r="I454" s="4" t="str">
        <f>IF(E454="","",SUMPRODUCT((E$9:E454=E454)*(C$9:C454&lt;&gt;"Salida")*H$9:H454)-SUMPRODUCT((E$9:E454=E454)*(C$9:C454="Salida")*H$9:H454))</f>
        <v/>
      </c>
    </row>
    <row r="455" spans="2:9" ht="16.5" customHeight="1" x14ac:dyDescent="0.25">
      <c r="B455" s="6"/>
      <c r="C455" s="6"/>
      <c r="D455" s="6"/>
      <c r="E455" s="6"/>
      <c r="F455" s="7" t="str">
        <f>IFERROR(IF(E455="","",VLOOKUP(E455,Catalogo!$B$10:$D$209,2,0)),"")</f>
        <v/>
      </c>
      <c r="G455" s="7" t="str">
        <f>IFERROR(IF(E455="","",VLOOKUP(E455,Catalogo!$B$10:$D$209,3,0)),"")</f>
        <v/>
      </c>
      <c r="H455" s="6"/>
      <c r="I455" s="6" t="str">
        <f>IF(E455="","",SUMPRODUCT((E$9:E455=E455)*(C$9:C455&lt;&gt;"Salida")*H$9:H455)-SUMPRODUCT((E$9:E455=E455)*(C$9:C455="Salida")*H$9:H455))</f>
        <v/>
      </c>
    </row>
    <row r="456" spans="2:9" ht="16.5" customHeight="1" x14ac:dyDescent="0.25">
      <c r="B456" s="4"/>
      <c r="C456" s="4"/>
      <c r="D456" s="4"/>
      <c r="E456" s="4"/>
      <c r="F456" s="5" t="str">
        <f>IFERROR(IF(E456="","",VLOOKUP(E456,Catalogo!$B$10:$D$209,2,0)),"")</f>
        <v/>
      </c>
      <c r="G456" s="5" t="str">
        <f>IFERROR(IF(E456="","",VLOOKUP(E456,Catalogo!$B$10:$D$209,3,0)),"")</f>
        <v/>
      </c>
      <c r="H456" s="4"/>
      <c r="I456" s="4" t="str">
        <f>IF(E456="","",SUMPRODUCT((E$9:E456=E456)*(C$9:C456&lt;&gt;"Salida")*H$9:H456)-SUMPRODUCT((E$9:E456=E456)*(C$9:C456="Salida")*H$9:H456))</f>
        <v/>
      </c>
    </row>
    <row r="457" spans="2:9" ht="16.5" customHeight="1" x14ac:dyDescent="0.25">
      <c r="B457" s="6"/>
      <c r="C457" s="6"/>
      <c r="D457" s="6"/>
      <c r="E457" s="6"/>
      <c r="F457" s="7" t="str">
        <f>IFERROR(IF(E457="","",VLOOKUP(E457,Catalogo!$B$10:$D$209,2,0)),"")</f>
        <v/>
      </c>
      <c r="G457" s="7" t="str">
        <f>IFERROR(IF(E457="","",VLOOKUP(E457,Catalogo!$B$10:$D$209,3,0)),"")</f>
        <v/>
      </c>
      <c r="H457" s="6"/>
      <c r="I457" s="6" t="str">
        <f>IF(E457="","",SUMPRODUCT((E$9:E457=E457)*(C$9:C457&lt;&gt;"Salida")*H$9:H457)-SUMPRODUCT((E$9:E457=E457)*(C$9:C457="Salida")*H$9:H457))</f>
        <v/>
      </c>
    </row>
    <row r="458" spans="2:9" ht="16.5" customHeight="1" x14ac:dyDescent="0.25">
      <c r="B458" s="4"/>
      <c r="C458" s="4"/>
      <c r="D458" s="4"/>
      <c r="E458" s="4"/>
      <c r="F458" s="5" t="str">
        <f>IFERROR(IF(E458="","",VLOOKUP(E458,Catalogo!$B$10:$D$209,2,0)),"")</f>
        <v/>
      </c>
      <c r="G458" s="5" t="str">
        <f>IFERROR(IF(E458="","",VLOOKUP(E458,Catalogo!$B$10:$D$209,3,0)),"")</f>
        <v/>
      </c>
      <c r="H458" s="4"/>
      <c r="I458" s="4" t="str">
        <f>IF(E458="","",SUMPRODUCT((E$9:E458=E458)*(C$9:C458&lt;&gt;"Salida")*H$9:H458)-SUMPRODUCT((E$9:E458=E458)*(C$9:C458="Salida")*H$9:H458))</f>
        <v/>
      </c>
    </row>
    <row r="459" spans="2:9" ht="16.5" customHeight="1" x14ac:dyDescent="0.25">
      <c r="B459" s="6"/>
      <c r="C459" s="6"/>
      <c r="D459" s="6"/>
      <c r="E459" s="6"/>
      <c r="F459" s="7" t="str">
        <f>IFERROR(IF(E459="","",VLOOKUP(E459,Catalogo!$B$10:$D$209,2,0)),"")</f>
        <v/>
      </c>
      <c r="G459" s="7" t="str">
        <f>IFERROR(IF(E459="","",VLOOKUP(E459,Catalogo!$B$10:$D$209,3,0)),"")</f>
        <v/>
      </c>
      <c r="H459" s="6"/>
      <c r="I459" s="6" t="str">
        <f>IF(E459="","",SUMPRODUCT((E$9:E459=E459)*(C$9:C459&lt;&gt;"Salida")*H$9:H459)-SUMPRODUCT((E$9:E459=E459)*(C$9:C459="Salida")*H$9:H459))</f>
        <v/>
      </c>
    </row>
    <row r="460" spans="2:9" ht="16.5" customHeight="1" x14ac:dyDescent="0.25">
      <c r="B460" s="4"/>
      <c r="C460" s="4"/>
      <c r="D460" s="4"/>
      <c r="E460" s="4"/>
      <c r="F460" s="5" t="str">
        <f>IFERROR(IF(E460="","",VLOOKUP(E460,Catalogo!$B$10:$D$209,2,0)),"")</f>
        <v/>
      </c>
      <c r="G460" s="5" t="str">
        <f>IFERROR(IF(E460="","",VLOOKUP(E460,Catalogo!$B$10:$D$209,3,0)),"")</f>
        <v/>
      </c>
      <c r="H460" s="4"/>
      <c r="I460" s="4" t="str">
        <f>IF(E460="","",SUMPRODUCT((E$9:E460=E460)*(C$9:C460&lt;&gt;"Salida")*H$9:H460)-SUMPRODUCT((E$9:E460=E460)*(C$9:C460="Salida")*H$9:H460))</f>
        <v/>
      </c>
    </row>
    <row r="461" spans="2:9" ht="16.5" customHeight="1" x14ac:dyDescent="0.25">
      <c r="B461" s="6"/>
      <c r="C461" s="6"/>
      <c r="D461" s="6"/>
      <c r="E461" s="6"/>
      <c r="F461" s="7" t="str">
        <f>IFERROR(IF(E461="","",VLOOKUP(E461,Catalogo!$B$10:$D$209,2,0)),"")</f>
        <v/>
      </c>
      <c r="G461" s="7" t="str">
        <f>IFERROR(IF(E461="","",VLOOKUP(E461,Catalogo!$B$10:$D$209,3,0)),"")</f>
        <v/>
      </c>
      <c r="H461" s="6"/>
      <c r="I461" s="6" t="str">
        <f>IF(E461="","",SUMPRODUCT((E$9:E461=E461)*(C$9:C461&lt;&gt;"Salida")*H$9:H461)-SUMPRODUCT((E$9:E461=E461)*(C$9:C461="Salida")*H$9:H461))</f>
        <v/>
      </c>
    </row>
    <row r="462" spans="2:9" ht="16.5" customHeight="1" x14ac:dyDescent="0.25">
      <c r="B462" s="4"/>
      <c r="C462" s="4"/>
      <c r="D462" s="4"/>
      <c r="E462" s="4"/>
      <c r="F462" s="5" t="str">
        <f>IFERROR(IF(E462="","",VLOOKUP(E462,Catalogo!$B$10:$D$209,2,0)),"")</f>
        <v/>
      </c>
      <c r="G462" s="5" t="str">
        <f>IFERROR(IF(E462="","",VLOOKUP(E462,Catalogo!$B$10:$D$209,3,0)),"")</f>
        <v/>
      </c>
      <c r="H462" s="4"/>
      <c r="I462" s="4" t="str">
        <f>IF(E462="","",SUMPRODUCT((E$9:E462=E462)*(C$9:C462&lt;&gt;"Salida")*H$9:H462)-SUMPRODUCT((E$9:E462=E462)*(C$9:C462="Salida")*H$9:H462))</f>
        <v/>
      </c>
    </row>
    <row r="463" spans="2:9" ht="16.5" customHeight="1" x14ac:dyDescent="0.25">
      <c r="B463" s="6"/>
      <c r="C463" s="6"/>
      <c r="D463" s="6"/>
      <c r="E463" s="6"/>
      <c r="F463" s="7" t="str">
        <f>IFERROR(IF(E463="","",VLOOKUP(E463,Catalogo!$B$10:$D$209,2,0)),"")</f>
        <v/>
      </c>
      <c r="G463" s="7" t="str">
        <f>IFERROR(IF(E463="","",VLOOKUP(E463,Catalogo!$B$10:$D$209,3,0)),"")</f>
        <v/>
      </c>
      <c r="H463" s="6"/>
      <c r="I463" s="6" t="str">
        <f>IF(E463="","",SUMPRODUCT((E$9:E463=E463)*(C$9:C463&lt;&gt;"Salida")*H$9:H463)-SUMPRODUCT((E$9:E463=E463)*(C$9:C463="Salida")*H$9:H463))</f>
        <v/>
      </c>
    </row>
    <row r="464" spans="2:9" ht="16.5" customHeight="1" x14ac:dyDescent="0.25">
      <c r="B464" s="4"/>
      <c r="C464" s="4"/>
      <c r="D464" s="4"/>
      <c r="E464" s="4"/>
      <c r="F464" s="5" t="str">
        <f>IFERROR(IF(E464="","",VLOOKUP(E464,Catalogo!$B$10:$D$209,2,0)),"")</f>
        <v/>
      </c>
      <c r="G464" s="5" t="str">
        <f>IFERROR(IF(E464="","",VLOOKUP(E464,Catalogo!$B$10:$D$209,3,0)),"")</f>
        <v/>
      </c>
      <c r="H464" s="4"/>
      <c r="I464" s="4" t="str">
        <f>IF(E464="","",SUMPRODUCT((E$9:E464=E464)*(C$9:C464&lt;&gt;"Salida")*H$9:H464)-SUMPRODUCT((E$9:E464=E464)*(C$9:C464="Salida")*H$9:H464))</f>
        <v/>
      </c>
    </row>
    <row r="465" spans="2:9" ht="16.5" customHeight="1" x14ac:dyDescent="0.25">
      <c r="B465" s="6"/>
      <c r="C465" s="6"/>
      <c r="D465" s="6"/>
      <c r="E465" s="6"/>
      <c r="F465" s="7" t="str">
        <f>IFERROR(IF(E465="","",VLOOKUP(E465,Catalogo!$B$10:$D$209,2,0)),"")</f>
        <v/>
      </c>
      <c r="G465" s="7" t="str">
        <f>IFERROR(IF(E465="","",VLOOKUP(E465,Catalogo!$B$10:$D$209,3,0)),"")</f>
        <v/>
      </c>
      <c r="H465" s="6"/>
      <c r="I465" s="6" t="str">
        <f>IF(E465="","",SUMPRODUCT((E$9:E465=E465)*(C$9:C465&lt;&gt;"Salida")*H$9:H465)-SUMPRODUCT((E$9:E465=E465)*(C$9:C465="Salida")*H$9:H465))</f>
        <v/>
      </c>
    </row>
    <row r="466" spans="2:9" ht="16.5" customHeight="1" x14ac:dyDescent="0.25">
      <c r="B466" s="4"/>
      <c r="C466" s="4"/>
      <c r="D466" s="4"/>
      <c r="E466" s="4"/>
      <c r="F466" s="5" t="str">
        <f>IFERROR(IF(E466="","",VLOOKUP(E466,Catalogo!$B$10:$D$209,2,0)),"")</f>
        <v/>
      </c>
      <c r="G466" s="5" t="str">
        <f>IFERROR(IF(E466="","",VLOOKUP(E466,Catalogo!$B$10:$D$209,3,0)),"")</f>
        <v/>
      </c>
      <c r="H466" s="4"/>
      <c r="I466" s="4" t="str">
        <f>IF(E466="","",SUMPRODUCT((E$9:E466=E466)*(C$9:C466&lt;&gt;"Salida")*H$9:H466)-SUMPRODUCT((E$9:E466=E466)*(C$9:C466="Salida")*H$9:H466))</f>
        <v/>
      </c>
    </row>
    <row r="467" spans="2:9" ht="16.5" customHeight="1" x14ac:dyDescent="0.25">
      <c r="B467" s="6"/>
      <c r="C467" s="6"/>
      <c r="D467" s="6"/>
      <c r="E467" s="6"/>
      <c r="F467" s="7" t="str">
        <f>IFERROR(IF(E467="","",VLOOKUP(E467,Catalogo!$B$10:$D$209,2,0)),"")</f>
        <v/>
      </c>
      <c r="G467" s="7" t="str">
        <f>IFERROR(IF(E467="","",VLOOKUP(E467,Catalogo!$B$10:$D$209,3,0)),"")</f>
        <v/>
      </c>
      <c r="H467" s="6"/>
      <c r="I467" s="6" t="str">
        <f>IF(E467="","",SUMPRODUCT((E$9:E467=E467)*(C$9:C467&lt;&gt;"Salida")*H$9:H467)-SUMPRODUCT((E$9:E467=E467)*(C$9:C467="Salida")*H$9:H467))</f>
        <v/>
      </c>
    </row>
    <row r="468" spans="2:9" ht="16.5" customHeight="1" x14ac:dyDescent="0.25">
      <c r="B468" s="4"/>
      <c r="C468" s="4"/>
      <c r="D468" s="4"/>
      <c r="E468" s="4"/>
      <c r="F468" s="5" t="str">
        <f>IFERROR(IF(E468="","",VLOOKUP(E468,Catalogo!$B$10:$D$209,2,0)),"")</f>
        <v/>
      </c>
      <c r="G468" s="5" t="str">
        <f>IFERROR(IF(E468="","",VLOOKUP(E468,Catalogo!$B$10:$D$209,3,0)),"")</f>
        <v/>
      </c>
      <c r="H468" s="4"/>
      <c r="I468" s="4" t="str">
        <f>IF(E468="","",SUMPRODUCT((E$9:E468=E468)*(C$9:C468&lt;&gt;"Salida")*H$9:H468)-SUMPRODUCT((E$9:E468=E468)*(C$9:C468="Salida")*H$9:H468))</f>
        <v/>
      </c>
    </row>
    <row r="469" spans="2:9" ht="16.5" customHeight="1" x14ac:dyDescent="0.25">
      <c r="B469" s="6"/>
      <c r="C469" s="6"/>
      <c r="D469" s="6"/>
      <c r="E469" s="6"/>
      <c r="F469" s="7" t="str">
        <f>IFERROR(IF(E469="","",VLOOKUP(E469,Catalogo!$B$10:$D$209,2,0)),"")</f>
        <v/>
      </c>
      <c r="G469" s="7" t="str">
        <f>IFERROR(IF(E469="","",VLOOKUP(E469,Catalogo!$B$10:$D$209,3,0)),"")</f>
        <v/>
      </c>
      <c r="H469" s="6"/>
      <c r="I469" s="6" t="str">
        <f>IF(E469="","",SUMPRODUCT((E$9:E469=E469)*(C$9:C469&lt;&gt;"Salida")*H$9:H469)-SUMPRODUCT((E$9:E469=E469)*(C$9:C469="Salida")*H$9:H469))</f>
        <v/>
      </c>
    </row>
    <row r="470" spans="2:9" ht="16.5" customHeight="1" x14ac:dyDescent="0.25">
      <c r="B470" s="4"/>
      <c r="C470" s="4"/>
      <c r="D470" s="4"/>
      <c r="E470" s="4"/>
      <c r="F470" s="5" t="str">
        <f>IFERROR(IF(E470="","",VLOOKUP(E470,Catalogo!$B$10:$D$209,2,0)),"")</f>
        <v/>
      </c>
      <c r="G470" s="5" t="str">
        <f>IFERROR(IF(E470="","",VLOOKUP(E470,Catalogo!$B$10:$D$209,3,0)),"")</f>
        <v/>
      </c>
      <c r="H470" s="4"/>
      <c r="I470" s="4" t="str">
        <f>IF(E470="","",SUMPRODUCT((E$9:E470=E470)*(C$9:C470&lt;&gt;"Salida")*H$9:H470)-SUMPRODUCT((E$9:E470=E470)*(C$9:C470="Salida")*H$9:H470))</f>
        <v/>
      </c>
    </row>
    <row r="471" spans="2:9" ht="16.5" customHeight="1" x14ac:dyDescent="0.25">
      <c r="B471" s="6"/>
      <c r="C471" s="6"/>
      <c r="D471" s="6"/>
      <c r="E471" s="6"/>
      <c r="F471" s="7" t="str">
        <f>IFERROR(IF(E471="","",VLOOKUP(E471,Catalogo!$B$10:$D$209,2,0)),"")</f>
        <v/>
      </c>
      <c r="G471" s="7" t="str">
        <f>IFERROR(IF(E471="","",VLOOKUP(E471,Catalogo!$B$10:$D$209,3,0)),"")</f>
        <v/>
      </c>
      <c r="H471" s="6"/>
      <c r="I471" s="6" t="str">
        <f>IF(E471="","",SUMPRODUCT((E$9:E471=E471)*(C$9:C471&lt;&gt;"Salida")*H$9:H471)-SUMPRODUCT((E$9:E471=E471)*(C$9:C471="Salida")*H$9:H471))</f>
        <v/>
      </c>
    </row>
    <row r="472" spans="2:9" ht="16.5" customHeight="1" x14ac:dyDescent="0.25">
      <c r="B472" s="4"/>
      <c r="C472" s="4"/>
      <c r="D472" s="4"/>
      <c r="E472" s="4"/>
      <c r="F472" s="5" t="str">
        <f>IFERROR(IF(E472="","",VLOOKUP(E472,Catalogo!$B$10:$D$209,2,0)),"")</f>
        <v/>
      </c>
      <c r="G472" s="5" t="str">
        <f>IFERROR(IF(E472="","",VLOOKUP(E472,Catalogo!$B$10:$D$209,3,0)),"")</f>
        <v/>
      </c>
      <c r="H472" s="4"/>
      <c r="I472" s="4" t="str">
        <f>IF(E472="","",SUMPRODUCT((E$9:E472=E472)*(C$9:C472&lt;&gt;"Salida")*H$9:H472)-SUMPRODUCT((E$9:E472=E472)*(C$9:C472="Salida")*H$9:H472))</f>
        <v/>
      </c>
    </row>
    <row r="473" spans="2:9" ht="16.5" customHeight="1" x14ac:dyDescent="0.25">
      <c r="B473" s="6"/>
      <c r="C473" s="6"/>
      <c r="D473" s="6"/>
      <c r="E473" s="6"/>
      <c r="F473" s="7" t="str">
        <f>IFERROR(IF(E473="","",VLOOKUP(E473,Catalogo!$B$10:$D$209,2,0)),"")</f>
        <v/>
      </c>
      <c r="G473" s="7" t="str">
        <f>IFERROR(IF(E473="","",VLOOKUP(E473,Catalogo!$B$10:$D$209,3,0)),"")</f>
        <v/>
      </c>
      <c r="H473" s="6"/>
      <c r="I473" s="6" t="str">
        <f>IF(E473="","",SUMPRODUCT((E$9:E473=E473)*(C$9:C473&lt;&gt;"Salida")*H$9:H473)-SUMPRODUCT((E$9:E473=E473)*(C$9:C473="Salida")*H$9:H473))</f>
        <v/>
      </c>
    </row>
    <row r="474" spans="2:9" ht="16.5" customHeight="1" x14ac:dyDescent="0.25">
      <c r="B474" s="4"/>
      <c r="C474" s="4"/>
      <c r="D474" s="4"/>
      <c r="E474" s="4"/>
      <c r="F474" s="5" t="str">
        <f>IFERROR(IF(E474="","",VLOOKUP(E474,Catalogo!$B$10:$D$209,2,0)),"")</f>
        <v/>
      </c>
      <c r="G474" s="5" t="str">
        <f>IFERROR(IF(E474="","",VLOOKUP(E474,Catalogo!$B$10:$D$209,3,0)),"")</f>
        <v/>
      </c>
      <c r="H474" s="4"/>
      <c r="I474" s="4" t="str">
        <f>IF(E474="","",SUMPRODUCT((E$9:E474=E474)*(C$9:C474&lt;&gt;"Salida")*H$9:H474)-SUMPRODUCT((E$9:E474=E474)*(C$9:C474="Salida")*H$9:H474))</f>
        <v/>
      </c>
    </row>
    <row r="475" spans="2:9" ht="16.5" customHeight="1" x14ac:dyDescent="0.25">
      <c r="B475" s="6"/>
      <c r="C475" s="6"/>
      <c r="D475" s="6"/>
      <c r="E475" s="6"/>
      <c r="F475" s="7" t="str">
        <f>IFERROR(IF(E475="","",VLOOKUP(E475,Catalogo!$B$10:$D$209,2,0)),"")</f>
        <v/>
      </c>
      <c r="G475" s="7" t="str">
        <f>IFERROR(IF(E475="","",VLOOKUP(E475,Catalogo!$B$10:$D$209,3,0)),"")</f>
        <v/>
      </c>
      <c r="H475" s="6"/>
      <c r="I475" s="6" t="str">
        <f>IF(E475="","",SUMPRODUCT((E$9:E475=E475)*(C$9:C475&lt;&gt;"Salida")*H$9:H475)-SUMPRODUCT((E$9:E475=E475)*(C$9:C475="Salida")*H$9:H475))</f>
        <v/>
      </c>
    </row>
    <row r="476" spans="2:9" ht="16.5" customHeight="1" x14ac:dyDescent="0.25">
      <c r="B476" s="4"/>
      <c r="C476" s="4"/>
      <c r="D476" s="4"/>
      <c r="E476" s="4"/>
      <c r="F476" s="5" t="str">
        <f>IFERROR(IF(E476="","",VLOOKUP(E476,Catalogo!$B$10:$D$209,2,0)),"")</f>
        <v/>
      </c>
      <c r="G476" s="5" t="str">
        <f>IFERROR(IF(E476="","",VLOOKUP(E476,Catalogo!$B$10:$D$209,3,0)),"")</f>
        <v/>
      </c>
      <c r="H476" s="4"/>
      <c r="I476" s="4" t="str">
        <f>IF(E476="","",SUMPRODUCT((E$9:E476=E476)*(C$9:C476&lt;&gt;"Salida")*H$9:H476)-SUMPRODUCT((E$9:E476=E476)*(C$9:C476="Salida")*H$9:H476))</f>
        <v/>
      </c>
    </row>
    <row r="477" spans="2:9" ht="16.5" customHeight="1" x14ac:dyDescent="0.25">
      <c r="B477" s="6"/>
      <c r="C477" s="6"/>
      <c r="D477" s="6"/>
      <c r="E477" s="6"/>
      <c r="F477" s="7" t="str">
        <f>IFERROR(IF(E477="","",VLOOKUP(E477,Catalogo!$B$10:$D$209,2,0)),"")</f>
        <v/>
      </c>
      <c r="G477" s="7" t="str">
        <f>IFERROR(IF(E477="","",VLOOKUP(E477,Catalogo!$B$10:$D$209,3,0)),"")</f>
        <v/>
      </c>
      <c r="H477" s="6"/>
      <c r="I477" s="6" t="str">
        <f>IF(E477="","",SUMPRODUCT((E$9:E477=E477)*(C$9:C477&lt;&gt;"Salida")*H$9:H477)-SUMPRODUCT((E$9:E477=E477)*(C$9:C477="Salida")*H$9:H477))</f>
        <v/>
      </c>
    </row>
    <row r="478" spans="2:9" ht="16.5" customHeight="1" x14ac:dyDescent="0.25">
      <c r="B478" s="4"/>
      <c r="C478" s="4"/>
      <c r="D478" s="4"/>
      <c r="E478" s="4"/>
      <c r="F478" s="5" t="str">
        <f>IFERROR(IF(E478="","",VLOOKUP(E478,Catalogo!$B$10:$D$209,2,0)),"")</f>
        <v/>
      </c>
      <c r="G478" s="5" t="str">
        <f>IFERROR(IF(E478="","",VLOOKUP(E478,Catalogo!$B$10:$D$209,3,0)),"")</f>
        <v/>
      </c>
      <c r="H478" s="4"/>
      <c r="I478" s="4" t="str">
        <f>IF(E478="","",SUMPRODUCT((E$9:E478=E478)*(C$9:C478&lt;&gt;"Salida")*H$9:H478)-SUMPRODUCT((E$9:E478=E478)*(C$9:C478="Salida")*H$9:H478))</f>
        <v/>
      </c>
    </row>
    <row r="479" spans="2:9" ht="16.5" customHeight="1" x14ac:dyDescent="0.25">
      <c r="B479" s="6"/>
      <c r="C479" s="6"/>
      <c r="D479" s="6"/>
      <c r="E479" s="6"/>
      <c r="F479" s="7" t="str">
        <f>IFERROR(IF(E479="","",VLOOKUP(E479,Catalogo!$B$10:$D$209,2,0)),"")</f>
        <v/>
      </c>
      <c r="G479" s="7" t="str">
        <f>IFERROR(IF(E479="","",VLOOKUP(E479,Catalogo!$B$10:$D$209,3,0)),"")</f>
        <v/>
      </c>
      <c r="H479" s="6"/>
      <c r="I479" s="6" t="str">
        <f>IF(E479="","",SUMPRODUCT((E$9:E479=E479)*(C$9:C479&lt;&gt;"Salida")*H$9:H479)-SUMPRODUCT((E$9:E479=E479)*(C$9:C479="Salida")*H$9:H479))</f>
        <v/>
      </c>
    </row>
    <row r="480" spans="2:9" ht="16.5" customHeight="1" x14ac:dyDescent="0.25">
      <c r="B480" s="4"/>
      <c r="C480" s="4"/>
      <c r="D480" s="4"/>
      <c r="E480" s="4"/>
      <c r="F480" s="5" t="str">
        <f>IFERROR(IF(E480="","",VLOOKUP(E480,Catalogo!$B$10:$D$209,2,0)),"")</f>
        <v/>
      </c>
      <c r="G480" s="5" t="str">
        <f>IFERROR(IF(E480="","",VLOOKUP(E480,Catalogo!$B$10:$D$209,3,0)),"")</f>
        <v/>
      </c>
      <c r="H480" s="4"/>
      <c r="I480" s="4" t="str">
        <f>IF(E480="","",SUMPRODUCT((E$9:E480=E480)*(C$9:C480&lt;&gt;"Salida")*H$9:H480)-SUMPRODUCT((E$9:E480=E480)*(C$9:C480="Salida")*H$9:H480))</f>
        <v/>
      </c>
    </row>
    <row r="481" spans="2:9" ht="16.5" customHeight="1" x14ac:dyDescent="0.25">
      <c r="B481" s="6"/>
      <c r="C481" s="6"/>
      <c r="D481" s="6"/>
      <c r="E481" s="6"/>
      <c r="F481" s="7" t="str">
        <f>IFERROR(IF(E481="","",VLOOKUP(E481,Catalogo!$B$10:$D$209,2,0)),"")</f>
        <v/>
      </c>
      <c r="G481" s="7" t="str">
        <f>IFERROR(IF(E481="","",VLOOKUP(E481,Catalogo!$B$10:$D$209,3,0)),"")</f>
        <v/>
      </c>
      <c r="H481" s="6"/>
      <c r="I481" s="6" t="str">
        <f>IF(E481="","",SUMPRODUCT((E$9:E481=E481)*(C$9:C481&lt;&gt;"Salida")*H$9:H481)-SUMPRODUCT((E$9:E481=E481)*(C$9:C481="Salida")*H$9:H481))</f>
        <v/>
      </c>
    </row>
    <row r="482" spans="2:9" ht="16.5" customHeight="1" x14ac:dyDescent="0.25">
      <c r="B482" s="4"/>
      <c r="C482" s="4"/>
      <c r="D482" s="4"/>
      <c r="E482" s="4"/>
      <c r="F482" s="5" t="str">
        <f>IFERROR(IF(E482="","",VLOOKUP(E482,Catalogo!$B$10:$D$209,2,0)),"")</f>
        <v/>
      </c>
      <c r="G482" s="5" t="str">
        <f>IFERROR(IF(E482="","",VLOOKUP(E482,Catalogo!$B$10:$D$209,3,0)),"")</f>
        <v/>
      </c>
      <c r="H482" s="4"/>
      <c r="I482" s="4" t="str">
        <f>IF(E482="","",SUMPRODUCT((E$9:E482=E482)*(C$9:C482&lt;&gt;"Salida")*H$9:H482)-SUMPRODUCT((E$9:E482=E482)*(C$9:C482="Salida")*H$9:H482))</f>
        <v/>
      </c>
    </row>
    <row r="483" spans="2:9" ht="16.5" customHeight="1" x14ac:dyDescent="0.25">
      <c r="B483" s="6"/>
      <c r="C483" s="6"/>
      <c r="D483" s="6"/>
      <c r="E483" s="6"/>
      <c r="F483" s="7" t="str">
        <f>IFERROR(IF(E483="","",VLOOKUP(E483,Catalogo!$B$10:$D$209,2,0)),"")</f>
        <v/>
      </c>
      <c r="G483" s="7" t="str">
        <f>IFERROR(IF(E483="","",VLOOKUP(E483,Catalogo!$B$10:$D$209,3,0)),"")</f>
        <v/>
      </c>
      <c r="H483" s="6"/>
      <c r="I483" s="6" t="str">
        <f>IF(E483="","",SUMPRODUCT((E$9:E483=E483)*(C$9:C483&lt;&gt;"Salida")*H$9:H483)-SUMPRODUCT((E$9:E483=E483)*(C$9:C483="Salida")*H$9:H483))</f>
        <v/>
      </c>
    </row>
    <row r="484" spans="2:9" ht="16.5" customHeight="1" x14ac:dyDescent="0.25">
      <c r="B484" s="4"/>
      <c r="C484" s="4"/>
      <c r="D484" s="4"/>
      <c r="E484" s="4"/>
      <c r="F484" s="5" t="str">
        <f>IFERROR(IF(E484="","",VLOOKUP(E484,Catalogo!$B$10:$D$209,2,0)),"")</f>
        <v/>
      </c>
      <c r="G484" s="5" t="str">
        <f>IFERROR(IF(E484="","",VLOOKUP(E484,Catalogo!$B$10:$D$209,3,0)),"")</f>
        <v/>
      </c>
      <c r="H484" s="4"/>
      <c r="I484" s="4" t="str">
        <f>IF(E484="","",SUMPRODUCT((E$9:E484=E484)*(C$9:C484&lt;&gt;"Salida")*H$9:H484)-SUMPRODUCT((E$9:E484=E484)*(C$9:C484="Salida")*H$9:H484))</f>
        <v/>
      </c>
    </row>
    <row r="485" spans="2:9" ht="16.5" customHeight="1" x14ac:dyDescent="0.25">
      <c r="B485" s="6"/>
      <c r="C485" s="6"/>
      <c r="D485" s="6"/>
      <c r="E485" s="6"/>
      <c r="F485" s="7" t="str">
        <f>IFERROR(IF(E485="","",VLOOKUP(E485,Catalogo!$B$10:$D$209,2,0)),"")</f>
        <v/>
      </c>
      <c r="G485" s="7" t="str">
        <f>IFERROR(IF(E485="","",VLOOKUP(E485,Catalogo!$B$10:$D$209,3,0)),"")</f>
        <v/>
      </c>
      <c r="H485" s="6"/>
      <c r="I485" s="6" t="str">
        <f>IF(E485="","",SUMPRODUCT((E$9:E485=E485)*(C$9:C485&lt;&gt;"Salida")*H$9:H485)-SUMPRODUCT((E$9:E485=E485)*(C$9:C485="Salida")*H$9:H485))</f>
        <v/>
      </c>
    </row>
    <row r="486" spans="2:9" ht="16.5" customHeight="1" x14ac:dyDescent="0.25">
      <c r="B486" s="4"/>
      <c r="C486" s="4"/>
      <c r="D486" s="4"/>
      <c r="E486" s="4"/>
      <c r="F486" s="5" t="str">
        <f>IFERROR(IF(E486="","",VLOOKUP(E486,Catalogo!$B$10:$D$209,2,0)),"")</f>
        <v/>
      </c>
      <c r="G486" s="5" t="str">
        <f>IFERROR(IF(E486="","",VLOOKUP(E486,Catalogo!$B$10:$D$209,3,0)),"")</f>
        <v/>
      </c>
      <c r="H486" s="4"/>
      <c r="I486" s="4" t="str">
        <f>IF(E486="","",SUMPRODUCT((E$9:E486=E486)*(C$9:C486&lt;&gt;"Salida")*H$9:H486)-SUMPRODUCT((E$9:E486=E486)*(C$9:C486="Salida")*H$9:H486))</f>
        <v/>
      </c>
    </row>
    <row r="487" spans="2:9" ht="16.5" customHeight="1" x14ac:dyDescent="0.25">
      <c r="B487" s="6"/>
      <c r="C487" s="6"/>
      <c r="D487" s="6"/>
      <c r="E487" s="6"/>
      <c r="F487" s="7" t="str">
        <f>IFERROR(IF(E487="","",VLOOKUP(E487,Catalogo!$B$10:$D$209,2,0)),"")</f>
        <v/>
      </c>
      <c r="G487" s="7" t="str">
        <f>IFERROR(IF(E487="","",VLOOKUP(E487,Catalogo!$B$10:$D$209,3,0)),"")</f>
        <v/>
      </c>
      <c r="H487" s="6"/>
      <c r="I487" s="6" t="str">
        <f>IF(E487="","",SUMPRODUCT((E$9:E487=E487)*(C$9:C487&lt;&gt;"Salida")*H$9:H487)-SUMPRODUCT((E$9:E487=E487)*(C$9:C487="Salida")*H$9:H487))</f>
        <v/>
      </c>
    </row>
    <row r="488" spans="2:9" ht="16.5" customHeight="1" x14ac:dyDescent="0.25">
      <c r="B488" s="4"/>
      <c r="C488" s="4"/>
      <c r="D488" s="4"/>
      <c r="E488" s="4"/>
      <c r="F488" s="5" t="str">
        <f>IFERROR(IF(E488="","",VLOOKUP(E488,Catalogo!$B$10:$D$209,2,0)),"")</f>
        <v/>
      </c>
      <c r="G488" s="5" t="str">
        <f>IFERROR(IF(E488="","",VLOOKUP(E488,Catalogo!$B$10:$D$209,3,0)),"")</f>
        <v/>
      </c>
      <c r="H488" s="4"/>
      <c r="I488" s="4" t="str">
        <f>IF(E488="","",SUMPRODUCT((E$9:E488=E488)*(C$9:C488&lt;&gt;"Salida")*H$9:H488)-SUMPRODUCT((E$9:E488=E488)*(C$9:C488="Salida")*H$9:H488))</f>
        <v/>
      </c>
    </row>
    <row r="489" spans="2:9" ht="16.5" customHeight="1" x14ac:dyDescent="0.25">
      <c r="B489" s="6"/>
      <c r="C489" s="6"/>
      <c r="D489" s="6"/>
      <c r="E489" s="6"/>
      <c r="F489" s="7" t="str">
        <f>IFERROR(IF(E489="","",VLOOKUP(E489,Catalogo!$B$10:$D$209,2,0)),"")</f>
        <v/>
      </c>
      <c r="G489" s="7" t="str">
        <f>IFERROR(IF(E489="","",VLOOKUP(E489,Catalogo!$B$10:$D$209,3,0)),"")</f>
        <v/>
      </c>
      <c r="H489" s="6"/>
      <c r="I489" s="6" t="str">
        <f>IF(E489="","",SUMPRODUCT((E$9:E489=E489)*(C$9:C489&lt;&gt;"Salida")*H$9:H489)-SUMPRODUCT((E$9:E489=E489)*(C$9:C489="Salida")*H$9:H489))</f>
        <v/>
      </c>
    </row>
    <row r="490" spans="2:9" ht="16.5" customHeight="1" x14ac:dyDescent="0.25">
      <c r="B490" s="4"/>
      <c r="C490" s="4"/>
      <c r="D490" s="4"/>
      <c r="E490" s="4"/>
      <c r="F490" s="5" t="str">
        <f>IFERROR(IF(E490="","",VLOOKUP(E490,Catalogo!$B$10:$D$209,2,0)),"")</f>
        <v/>
      </c>
      <c r="G490" s="5" t="str">
        <f>IFERROR(IF(E490="","",VLOOKUP(E490,Catalogo!$B$10:$D$209,3,0)),"")</f>
        <v/>
      </c>
      <c r="H490" s="4"/>
      <c r="I490" s="4" t="str">
        <f>IF(E490="","",SUMPRODUCT((E$9:E490=E490)*(C$9:C490&lt;&gt;"Salida")*H$9:H490)-SUMPRODUCT((E$9:E490=E490)*(C$9:C490="Salida")*H$9:H490))</f>
        <v/>
      </c>
    </row>
    <row r="491" spans="2:9" ht="16.5" customHeight="1" x14ac:dyDescent="0.25">
      <c r="B491" s="6"/>
      <c r="C491" s="6"/>
      <c r="D491" s="6"/>
      <c r="E491" s="6"/>
      <c r="F491" s="7" t="str">
        <f>IFERROR(IF(E491="","",VLOOKUP(E491,Catalogo!$B$10:$D$209,2,0)),"")</f>
        <v/>
      </c>
      <c r="G491" s="7" t="str">
        <f>IFERROR(IF(E491="","",VLOOKUP(E491,Catalogo!$B$10:$D$209,3,0)),"")</f>
        <v/>
      </c>
      <c r="H491" s="6"/>
      <c r="I491" s="6" t="str">
        <f>IF(E491="","",SUMPRODUCT((E$9:E491=E491)*(C$9:C491&lt;&gt;"Salida")*H$9:H491)-SUMPRODUCT((E$9:E491=E491)*(C$9:C491="Salida")*H$9:H491))</f>
        <v/>
      </c>
    </row>
    <row r="492" spans="2:9" ht="16.5" customHeight="1" x14ac:dyDescent="0.25">
      <c r="B492" s="4"/>
      <c r="C492" s="4"/>
      <c r="D492" s="4"/>
      <c r="E492" s="4"/>
      <c r="F492" s="5" t="str">
        <f>IFERROR(IF(E492="","",VLOOKUP(E492,Catalogo!$B$10:$D$209,2,0)),"")</f>
        <v/>
      </c>
      <c r="G492" s="5" t="str">
        <f>IFERROR(IF(E492="","",VLOOKUP(E492,Catalogo!$B$10:$D$209,3,0)),"")</f>
        <v/>
      </c>
      <c r="H492" s="4"/>
      <c r="I492" s="4" t="str">
        <f>IF(E492="","",SUMPRODUCT((E$9:E492=E492)*(C$9:C492&lt;&gt;"Salida")*H$9:H492)-SUMPRODUCT((E$9:E492=E492)*(C$9:C492="Salida")*H$9:H492))</f>
        <v/>
      </c>
    </row>
    <row r="493" spans="2:9" ht="16.5" customHeight="1" x14ac:dyDescent="0.25">
      <c r="B493" s="6"/>
      <c r="C493" s="6"/>
      <c r="D493" s="6"/>
      <c r="E493" s="6"/>
      <c r="F493" s="7" t="str">
        <f>IFERROR(IF(E493="","",VLOOKUP(E493,Catalogo!$B$10:$D$209,2,0)),"")</f>
        <v/>
      </c>
      <c r="G493" s="7" t="str">
        <f>IFERROR(IF(E493="","",VLOOKUP(E493,Catalogo!$B$10:$D$209,3,0)),"")</f>
        <v/>
      </c>
      <c r="H493" s="6"/>
      <c r="I493" s="6" t="str">
        <f>IF(E493="","",SUMPRODUCT((E$9:E493=E493)*(C$9:C493&lt;&gt;"Salida")*H$9:H493)-SUMPRODUCT((E$9:E493=E493)*(C$9:C493="Salida")*H$9:H493))</f>
        <v/>
      </c>
    </row>
    <row r="494" spans="2:9" ht="16.5" customHeight="1" x14ac:dyDescent="0.25">
      <c r="B494" s="4"/>
      <c r="C494" s="4"/>
      <c r="D494" s="4"/>
      <c r="E494" s="4"/>
      <c r="F494" s="5" t="str">
        <f>IFERROR(IF(E494="","",VLOOKUP(E494,Catalogo!$B$10:$D$209,2,0)),"")</f>
        <v/>
      </c>
      <c r="G494" s="5" t="str">
        <f>IFERROR(IF(E494="","",VLOOKUP(E494,Catalogo!$B$10:$D$209,3,0)),"")</f>
        <v/>
      </c>
      <c r="H494" s="4"/>
      <c r="I494" s="4" t="str">
        <f>IF(E494="","",SUMPRODUCT((E$9:E494=E494)*(C$9:C494&lt;&gt;"Salida")*H$9:H494)-SUMPRODUCT((E$9:E494=E494)*(C$9:C494="Salida")*H$9:H494))</f>
        <v/>
      </c>
    </row>
    <row r="495" spans="2:9" ht="16.5" customHeight="1" x14ac:dyDescent="0.25">
      <c r="B495" s="6"/>
      <c r="C495" s="6"/>
      <c r="D495" s="6"/>
      <c r="E495" s="6"/>
      <c r="F495" s="7" t="str">
        <f>IFERROR(IF(E495="","",VLOOKUP(E495,Catalogo!$B$10:$D$209,2,0)),"")</f>
        <v/>
      </c>
      <c r="G495" s="7" t="str">
        <f>IFERROR(IF(E495="","",VLOOKUP(E495,Catalogo!$B$10:$D$209,3,0)),"")</f>
        <v/>
      </c>
      <c r="H495" s="6"/>
      <c r="I495" s="6" t="str">
        <f>IF(E495="","",SUMPRODUCT((E$9:E495=E495)*(C$9:C495&lt;&gt;"Salida")*H$9:H495)-SUMPRODUCT((E$9:E495=E495)*(C$9:C495="Salida")*H$9:H495))</f>
        <v/>
      </c>
    </row>
    <row r="496" spans="2:9" ht="16.5" customHeight="1" x14ac:dyDescent="0.25">
      <c r="B496" s="4"/>
      <c r="C496" s="4"/>
      <c r="D496" s="4"/>
      <c r="E496" s="4"/>
      <c r="F496" s="5" t="str">
        <f>IFERROR(IF(E496="","",VLOOKUP(E496,Catalogo!$B$10:$D$209,2,0)),"")</f>
        <v/>
      </c>
      <c r="G496" s="5" t="str">
        <f>IFERROR(IF(E496="","",VLOOKUP(E496,Catalogo!$B$10:$D$209,3,0)),"")</f>
        <v/>
      </c>
      <c r="H496" s="4"/>
      <c r="I496" s="4" t="str">
        <f>IF(E496="","",SUMPRODUCT((E$9:E496=E496)*(C$9:C496&lt;&gt;"Salida")*H$9:H496)-SUMPRODUCT((E$9:E496=E496)*(C$9:C496="Salida")*H$9:H496))</f>
        <v/>
      </c>
    </row>
    <row r="497" spans="2:9" ht="16.5" customHeight="1" x14ac:dyDescent="0.25">
      <c r="B497" s="6"/>
      <c r="C497" s="6"/>
      <c r="D497" s="6"/>
      <c r="E497" s="6"/>
      <c r="F497" s="7" t="str">
        <f>IFERROR(IF(E497="","",VLOOKUP(E497,Catalogo!$B$10:$D$209,2,0)),"")</f>
        <v/>
      </c>
      <c r="G497" s="7" t="str">
        <f>IFERROR(IF(E497="","",VLOOKUP(E497,Catalogo!$B$10:$D$209,3,0)),"")</f>
        <v/>
      </c>
      <c r="H497" s="6"/>
      <c r="I497" s="6" t="str">
        <f>IF(E497="","",SUMPRODUCT((E$9:E497=E497)*(C$9:C497&lt;&gt;"Salida")*H$9:H497)-SUMPRODUCT((E$9:E497=E497)*(C$9:C497="Salida")*H$9:H497))</f>
        <v/>
      </c>
    </row>
    <row r="498" spans="2:9" ht="16.5" customHeight="1" x14ac:dyDescent="0.25">
      <c r="B498" s="4"/>
      <c r="C498" s="4"/>
      <c r="D498" s="4"/>
      <c r="E498" s="4"/>
      <c r="F498" s="5" t="str">
        <f>IFERROR(IF(E498="","",VLOOKUP(E498,Catalogo!$B$10:$D$209,2,0)),"")</f>
        <v/>
      </c>
      <c r="G498" s="5" t="str">
        <f>IFERROR(IF(E498="","",VLOOKUP(E498,Catalogo!$B$10:$D$209,3,0)),"")</f>
        <v/>
      </c>
      <c r="H498" s="4"/>
      <c r="I498" s="4" t="str">
        <f>IF(E498="","",SUMPRODUCT((E$9:E498=E498)*(C$9:C498&lt;&gt;"Salida")*H$9:H498)-SUMPRODUCT((E$9:E498=E498)*(C$9:C498="Salida")*H$9:H498))</f>
        <v/>
      </c>
    </row>
    <row r="499" spans="2:9" ht="16.5" customHeight="1" x14ac:dyDescent="0.25">
      <c r="B499" s="6"/>
      <c r="C499" s="6"/>
      <c r="D499" s="6"/>
      <c r="E499" s="6"/>
      <c r="F499" s="7" t="str">
        <f>IFERROR(IF(E499="","",VLOOKUP(E499,Catalogo!$B$10:$D$209,2,0)),"")</f>
        <v/>
      </c>
      <c r="G499" s="7" t="str">
        <f>IFERROR(IF(E499="","",VLOOKUP(E499,Catalogo!$B$10:$D$209,3,0)),"")</f>
        <v/>
      </c>
      <c r="H499" s="6"/>
      <c r="I499" s="6" t="str">
        <f>IF(E499="","",SUMPRODUCT((E$9:E499=E499)*(C$9:C499&lt;&gt;"Salida")*H$9:H499)-SUMPRODUCT((E$9:E499=E499)*(C$9:C499="Salida")*H$9:H499))</f>
        <v/>
      </c>
    </row>
    <row r="500" spans="2:9" ht="16.5" customHeight="1" x14ac:dyDescent="0.25">
      <c r="B500" s="4"/>
      <c r="C500" s="4"/>
      <c r="D500" s="4"/>
      <c r="E500" s="4"/>
      <c r="F500" s="5" t="str">
        <f>IFERROR(IF(E500="","",VLOOKUP(E500,Catalogo!$B$10:$D$209,2,0)),"")</f>
        <v/>
      </c>
      <c r="G500" s="5" t="str">
        <f>IFERROR(IF(E500="","",VLOOKUP(E500,Catalogo!$B$10:$D$209,3,0)),"")</f>
        <v/>
      </c>
      <c r="H500" s="4"/>
      <c r="I500" s="4" t="str">
        <f>IF(E500="","",SUMPRODUCT((E$9:E500=E500)*(C$9:C500&lt;&gt;"Salida")*H$9:H500)-SUMPRODUCT((E$9:E500=E500)*(C$9:C500="Salida")*H$9:H500))</f>
        <v/>
      </c>
    </row>
    <row r="501" spans="2:9" ht="16.5" customHeight="1" x14ac:dyDescent="0.25">
      <c r="B501" s="6"/>
      <c r="C501" s="6"/>
      <c r="D501" s="6"/>
      <c r="E501" s="6"/>
      <c r="F501" s="7" t="str">
        <f>IFERROR(IF(E501="","",VLOOKUP(E501,Catalogo!$B$10:$D$209,2,0)),"")</f>
        <v/>
      </c>
      <c r="G501" s="7" t="str">
        <f>IFERROR(IF(E501="","",VLOOKUP(E501,Catalogo!$B$10:$D$209,3,0)),"")</f>
        <v/>
      </c>
      <c r="H501" s="6"/>
      <c r="I501" s="6" t="str">
        <f>IF(E501="","",SUMPRODUCT((E$9:E501=E501)*(C$9:C501&lt;&gt;"Salida")*H$9:H501)-SUMPRODUCT((E$9:E501=E501)*(C$9:C501="Salida")*H$9:H501))</f>
        <v/>
      </c>
    </row>
    <row r="502" spans="2:9" ht="16.5" customHeight="1" x14ac:dyDescent="0.25">
      <c r="B502" s="4"/>
      <c r="C502" s="4"/>
      <c r="D502" s="4"/>
      <c r="E502" s="4"/>
      <c r="F502" s="5" t="str">
        <f>IFERROR(IF(E502="","",VLOOKUP(E502,Catalogo!$B$10:$D$209,2,0)),"")</f>
        <v/>
      </c>
      <c r="G502" s="5" t="str">
        <f>IFERROR(IF(E502="","",VLOOKUP(E502,Catalogo!$B$10:$D$209,3,0)),"")</f>
        <v/>
      </c>
      <c r="H502" s="4"/>
      <c r="I502" s="4" t="str">
        <f>IF(E502="","",SUMPRODUCT((E$9:E502=E502)*(C$9:C502&lt;&gt;"Salida")*H$9:H502)-SUMPRODUCT((E$9:E502=E502)*(C$9:C502="Salida")*H$9:H502))</f>
        <v/>
      </c>
    </row>
    <row r="503" spans="2:9" ht="16.5" customHeight="1" x14ac:dyDescent="0.25">
      <c r="B503" s="6"/>
      <c r="C503" s="6"/>
      <c r="D503" s="6"/>
      <c r="E503" s="6"/>
      <c r="F503" s="7" t="str">
        <f>IFERROR(IF(E503="","",VLOOKUP(E503,Catalogo!$B$10:$D$209,2,0)),"")</f>
        <v/>
      </c>
      <c r="G503" s="7" t="str">
        <f>IFERROR(IF(E503="","",VLOOKUP(E503,Catalogo!$B$10:$D$209,3,0)),"")</f>
        <v/>
      </c>
      <c r="H503" s="6"/>
      <c r="I503" s="6" t="str">
        <f>IF(E503="","",SUMPRODUCT((E$9:E503=E503)*(C$9:C503&lt;&gt;"Salida")*H$9:H503)-SUMPRODUCT((E$9:E503=E503)*(C$9:C503="Salida")*H$9:H503))</f>
        <v/>
      </c>
    </row>
    <row r="504" spans="2:9" ht="16.5" customHeight="1" x14ac:dyDescent="0.25">
      <c r="B504" s="4"/>
      <c r="C504" s="4"/>
      <c r="D504" s="4"/>
      <c r="E504" s="4"/>
      <c r="F504" s="5" t="str">
        <f>IFERROR(IF(E504="","",VLOOKUP(E504,Catalogo!$B$10:$D$209,2,0)),"")</f>
        <v/>
      </c>
      <c r="G504" s="5" t="str">
        <f>IFERROR(IF(E504="","",VLOOKUP(E504,Catalogo!$B$10:$D$209,3,0)),"")</f>
        <v/>
      </c>
      <c r="H504" s="4"/>
      <c r="I504" s="4" t="str">
        <f>IF(E504="","",SUMPRODUCT((E$9:E504=E504)*(C$9:C504&lt;&gt;"Salida")*H$9:H504)-SUMPRODUCT((E$9:E504=E504)*(C$9:C504="Salida")*H$9:H504))</f>
        <v/>
      </c>
    </row>
    <row r="505" spans="2:9" ht="16.5" customHeight="1" x14ac:dyDescent="0.25">
      <c r="B505" s="6"/>
      <c r="C505" s="6"/>
      <c r="D505" s="6"/>
      <c r="E505" s="6"/>
      <c r="F505" s="7" t="str">
        <f>IFERROR(IF(E505="","",VLOOKUP(E505,Catalogo!$B$10:$D$209,2,0)),"")</f>
        <v/>
      </c>
      <c r="G505" s="7" t="str">
        <f>IFERROR(IF(E505="","",VLOOKUP(E505,Catalogo!$B$10:$D$209,3,0)),"")</f>
        <v/>
      </c>
      <c r="H505" s="6"/>
      <c r="I505" s="6" t="str">
        <f>IF(E505="","",SUMPRODUCT((E$9:E505=E505)*(C$9:C505&lt;&gt;"Salida")*H$9:H505)-SUMPRODUCT((E$9:E505=E505)*(C$9:C505="Salida")*H$9:H505))</f>
        <v/>
      </c>
    </row>
    <row r="506" spans="2:9" ht="16.5" customHeight="1" x14ac:dyDescent="0.25">
      <c r="B506" s="4"/>
      <c r="C506" s="4"/>
      <c r="D506" s="4"/>
      <c r="E506" s="4"/>
      <c r="F506" s="5" t="str">
        <f>IFERROR(IF(E506="","",VLOOKUP(E506,Catalogo!$B$10:$D$209,2,0)),"")</f>
        <v/>
      </c>
      <c r="G506" s="5" t="str">
        <f>IFERROR(IF(E506="","",VLOOKUP(E506,Catalogo!$B$10:$D$209,3,0)),"")</f>
        <v/>
      </c>
      <c r="H506" s="4"/>
      <c r="I506" s="4" t="str">
        <f>IF(E506="","",SUMPRODUCT((E$9:E506=E506)*(C$9:C506&lt;&gt;"Salida")*H$9:H506)-SUMPRODUCT((E$9:E506=E506)*(C$9:C506="Salida")*H$9:H506))</f>
        <v/>
      </c>
    </row>
    <row r="507" spans="2:9" ht="16.5" customHeight="1" x14ac:dyDescent="0.25">
      <c r="B507" s="6"/>
      <c r="C507" s="6"/>
      <c r="D507" s="6"/>
      <c r="E507" s="6"/>
      <c r="F507" s="7" t="str">
        <f>IFERROR(IF(E507="","",VLOOKUP(E507,Catalogo!$B$10:$D$209,2,0)),"")</f>
        <v/>
      </c>
      <c r="G507" s="7" t="str">
        <f>IFERROR(IF(E507="","",VLOOKUP(E507,Catalogo!$B$10:$D$209,3,0)),"")</f>
        <v/>
      </c>
      <c r="H507" s="6"/>
      <c r="I507" s="6" t="str">
        <f>IF(E507="","",SUMPRODUCT((E$9:E507=E507)*(C$9:C507&lt;&gt;"Salida")*H$9:H507)-SUMPRODUCT((E$9:E507=E507)*(C$9:C507="Salida")*H$9:H507))</f>
        <v/>
      </c>
    </row>
    <row r="508" spans="2:9" ht="16.5" customHeight="1" x14ac:dyDescent="0.25">
      <c r="B508" s="4"/>
      <c r="C508" s="4"/>
      <c r="D508" s="4"/>
      <c r="E508" s="4"/>
      <c r="F508" s="5" t="str">
        <f>IFERROR(IF(E508="","",VLOOKUP(E508,Catalogo!$B$10:$D$209,2,0)),"")</f>
        <v/>
      </c>
      <c r="G508" s="5" t="str">
        <f>IFERROR(IF(E508="","",VLOOKUP(E508,Catalogo!$B$10:$D$209,3,0)),"")</f>
        <v/>
      </c>
      <c r="H508" s="4"/>
      <c r="I508" s="4" t="str">
        <f>IF(E508="","",SUMPRODUCT((E$9:E508=E508)*(C$9:C508&lt;&gt;"Salida")*H$9:H508)-SUMPRODUCT((E$9:E508=E508)*(C$9:C508="Salida")*H$9:H508))</f>
        <v/>
      </c>
    </row>
  </sheetData>
  <mergeCells count="10">
    <mergeCell ref="B5:C5"/>
    <mergeCell ref="D5:E5"/>
    <mergeCell ref="F5:G5"/>
    <mergeCell ref="H5:I5"/>
    <mergeCell ref="B7:I7"/>
    <mergeCell ref="B2:I3"/>
    <mergeCell ref="B4:C4"/>
    <mergeCell ref="D4:E4"/>
    <mergeCell ref="F4:G4"/>
    <mergeCell ref="H4:I4"/>
  </mergeCells>
  <conditionalFormatting sqref="C9:C508">
    <cfRule type="expression" dxfId="5" priority="2">
      <formula>C9="Ingreso"</formula>
    </cfRule>
    <cfRule type="expression" dxfId="4" priority="3">
      <formula>C9="Salida"</formula>
    </cfRule>
    <cfRule type="expression" dxfId="3" priority="4">
      <formula>C9="Existencia"</formula>
    </cfRule>
  </conditionalFormatting>
  <dataValidations count="1">
    <dataValidation type="list" allowBlank="1" errorTitle="Tipo invalido" error="Use: Ingreso, Salida o Existencia" promptTitle="Tipo de Movimiento" prompt="Seleccione el tipo de movimiento" sqref="C9:C508" xr:uid="{00000000-0002-0000-0200-000000000000}">
      <formula1>"Ingreso,Salida,Existencia"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2C3E50"/>
  </sheetPr>
  <dimension ref="B1:B15"/>
  <sheetViews>
    <sheetView showGridLines="0" zoomScaleNormal="100" workbookViewId="0"/>
  </sheetViews>
  <sheetFormatPr baseColWidth="10" defaultColWidth="8.7109375" defaultRowHeight="15" x14ac:dyDescent="0.25"/>
  <cols>
    <col min="1" max="1" width="2" customWidth="1"/>
    <col min="2" max="2" width="100" customWidth="1"/>
  </cols>
  <sheetData>
    <row r="1" spans="2:2" ht="7.5" customHeight="1" x14ac:dyDescent="0.25"/>
    <row r="2" spans="2:2" ht="34.5" customHeight="1" x14ac:dyDescent="0.25">
      <c r="B2" s="2" t="s">
        <v>83</v>
      </c>
    </row>
    <row r="4" spans="2:2" ht="21.75" customHeight="1" x14ac:dyDescent="0.25">
      <c r="B4" s="1" t="s">
        <v>84</v>
      </c>
    </row>
    <row r="5" spans="2:2" ht="18" customHeight="1" x14ac:dyDescent="0.25">
      <c r="B5" s="8" t="s">
        <v>85</v>
      </c>
    </row>
    <row r="6" spans="2:2" ht="48" customHeight="1" x14ac:dyDescent="0.25">
      <c r="B6" s="9" t="s">
        <v>86</v>
      </c>
    </row>
    <row r="7" spans="2:2" ht="18" customHeight="1" x14ac:dyDescent="0.25">
      <c r="B7" s="8" t="s">
        <v>87</v>
      </c>
    </row>
    <row r="8" spans="2:2" ht="48" customHeight="1" x14ac:dyDescent="0.25">
      <c r="B8" s="9" t="s">
        <v>88</v>
      </c>
    </row>
    <row r="9" spans="2:2" ht="18" customHeight="1" x14ac:dyDescent="0.25">
      <c r="B9" s="8" t="s">
        <v>89</v>
      </c>
    </row>
    <row r="10" spans="2:2" ht="63.75" customHeight="1" x14ac:dyDescent="0.25">
      <c r="B10" s="9" t="s">
        <v>90</v>
      </c>
    </row>
    <row r="11" spans="2:2" ht="18" customHeight="1" x14ac:dyDescent="0.25">
      <c r="B11" s="8" t="s">
        <v>91</v>
      </c>
    </row>
    <row r="12" spans="2:2" ht="15.75" customHeight="1" x14ac:dyDescent="0.25">
      <c r="B12" s="9" t="s">
        <v>92</v>
      </c>
    </row>
    <row r="14" spans="2:2" ht="21.75" customHeight="1" x14ac:dyDescent="0.25">
      <c r="B14" s="10" t="s">
        <v>93</v>
      </c>
    </row>
    <row r="15" spans="2:2" ht="99.75" customHeight="1" x14ac:dyDescent="0.25">
      <c r="B15" s="9" t="s">
        <v>94</v>
      </c>
    </row>
  </sheetData>
  <pageMargins left="0.75" right="0.75" top="1" bottom="1" header="0.511811023622047" footer="0.511811023622047"/>
  <pageSetup paperSize="9" orientation="portrait" horizontalDpi="300" verticalDpi="30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Dashboard</vt:lpstr>
      <vt:lpstr>Catalogo</vt:lpstr>
      <vt:lpstr>Movimientos</vt:lpstr>
      <vt:lpstr>Instrucciones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Jorge vargas Mencia</cp:lastModifiedBy>
  <cp:revision>0</cp:revision>
  <cp:lastPrinted>2026-05-20T19:20:16Z</cp:lastPrinted>
  <dcterms:created xsi:type="dcterms:W3CDTF">2026-05-20T17:19:22Z</dcterms:created>
  <dcterms:modified xsi:type="dcterms:W3CDTF">2026-05-20T19:59:18Z</dcterms:modified>
  <dc:language>en-US</dc:language>
</cp:coreProperties>
</file>